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ei\Downloads\"/>
    </mc:Choice>
  </mc:AlternateContent>
  <xr:revisionPtr revIDLastSave="0" documentId="13_ncr:1_{7422065D-0E38-4A61-8DBF-FB69063A2EB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FRI report" sheetId="1" r:id="rId1"/>
    <sheet name="Photos 1" sheetId="2" r:id="rId2"/>
    <sheet name="Photos 2" sheetId="3" r:id="rId3"/>
    <sheet name="Photos 3" sheetId="4" r:id="rId4"/>
    <sheet name="Photos 4" sheetId="5" r:id="rId5"/>
    <sheet name="Photos 5" sheetId="6" r:id="rId6"/>
    <sheet name="Photos 6" sheetId="7" r:id="rId7"/>
    <sheet name="db" sheetId="8" state="hidden" r:id="rId8"/>
  </sheets>
  <definedNames>
    <definedName name="_xlnm._FilterDatabase" localSheetId="0" hidden="1">'FRI report'!$AA$1:$AG$580</definedName>
    <definedName name="_xlnm.Print_Area" localSheetId="0">'FRI report'!$A$2:$Y$310</definedName>
    <definedName name="_xlnm.Print_Area" localSheetId="1">'Photos 1'!$A$2:$Y$63</definedName>
    <definedName name="_xlnm.Print_Area" localSheetId="2">'Photos 2'!$A$2:$Y$63</definedName>
    <definedName name="_xlnm.Print_Area" localSheetId="3">'Photos 3'!$A$2:$Y$63</definedName>
    <definedName name="_xlnm.Print_Area" localSheetId="4">'Photos 4'!$A$2:$Y$63</definedName>
    <definedName name="_xlnm.Print_Area" localSheetId="5">'Photos 5'!$A$2:$Y$63</definedName>
    <definedName name="_xlnm.Print_Area" localSheetId="6">'Photos 6'!$A$2:$Y$63</definedName>
    <definedName name="_xlnm.Print_Titles" localSheetId="0">'FRI report'!$2:$11</definedName>
    <definedName name="_xlnm.Print_Titles" localSheetId="1">'Photos 1'!$2:$11</definedName>
    <definedName name="_xlnm.Print_Titles" localSheetId="2">'Photos 2'!$2:$11</definedName>
    <definedName name="_xlnm.Print_Titles" localSheetId="3">'Photos 3'!$2:$11</definedName>
    <definedName name="_xlnm.Print_Titles" localSheetId="4">'Photos 4'!$2:$11</definedName>
    <definedName name="_xlnm.Print_Titles" localSheetId="5">'Photos 5'!$2:$11</definedName>
    <definedName name="_xlnm.Print_Titles" localSheetId="6">'Photos 6'!$2:$11</definedName>
    <definedName name="Z_382EAA70_9C31_4C76_A546_CEC2754E9ACF_.wvu.PrintTitles" localSheetId="0" hidden="1">'FRI report'!$2:$11</definedName>
    <definedName name="Z_382EAA70_9C31_4C76_A546_CEC2754E9ACF_.wvu.PrintTitles" localSheetId="1" hidden="1">'Photos 1'!$2:$11</definedName>
    <definedName name="Z_382EAA70_9C31_4C76_A546_CEC2754E9ACF_.wvu.PrintTitles" localSheetId="2" hidden="1">'Photos 2'!$2:$11</definedName>
    <definedName name="Z_382EAA70_9C31_4C76_A546_CEC2754E9ACF_.wvu.PrintTitles" localSheetId="3" hidden="1">'Photos 3'!$2:$11</definedName>
    <definedName name="Z_382EAA70_9C31_4C76_A546_CEC2754E9ACF_.wvu.PrintTitles" localSheetId="4" hidden="1">'Photos 4'!$2:$11</definedName>
    <definedName name="Z_382EAA70_9C31_4C76_A546_CEC2754E9ACF_.wvu.PrintTitles" localSheetId="5" hidden="1">'Photos 5'!$2:$11</definedName>
    <definedName name="Z_382EAA70_9C31_4C76_A546_CEC2754E9ACF_.wvu.PrintTitles" localSheetId="6" hidden="1">'Photos 6'!$2:$11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7" l="1"/>
  <c r="D9" i="7"/>
  <c r="U8" i="7"/>
  <c r="U7" i="7"/>
  <c r="L7" i="7"/>
  <c r="D7" i="7"/>
  <c r="U6" i="7"/>
  <c r="L6" i="7"/>
  <c r="D6" i="7"/>
  <c r="U5" i="7"/>
  <c r="L5" i="7"/>
  <c r="D5" i="7"/>
  <c r="U4" i="7"/>
  <c r="L4" i="7"/>
  <c r="D4" i="7"/>
  <c r="D10" i="6"/>
  <c r="D9" i="6"/>
  <c r="U8" i="6"/>
  <c r="U7" i="6"/>
  <c r="L7" i="6"/>
  <c r="D7" i="6"/>
  <c r="U6" i="6"/>
  <c r="L6" i="6"/>
  <c r="D6" i="6"/>
  <c r="U5" i="6"/>
  <c r="L5" i="6"/>
  <c r="D5" i="6"/>
  <c r="U4" i="6"/>
  <c r="L4" i="6"/>
  <c r="D4" i="6"/>
  <c r="D10" i="5"/>
  <c r="D9" i="5"/>
  <c r="U8" i="5"/>
  <c r="U7" i="5"/>
  <c r="L7" i="5"/>
  <c r="D7" i="5"/>
  <c r="U6" i="5"/>
  <c r="L6" i="5"/>
  <c r="D6" i="5"/>
  <c r="U5" i="5"/>
  <c r="L5" i="5"/>
  <c r="D5" i="5"/>
  <c r="U4" i="5"/>
  <c r="L4" i="5"/>
  <c r="D4" i="5"/>
  <c r="D10" i="4"/>
  <c r="D9" i="4"/>
  <c r="U8" i="4"/>
  <c r="U7" i="4"/>
  <c r="L7" i="4"/>
  <c r="D7" i="4"/>
  <c r="U6" i="4"/>
  <c r="L6" i="4"/>
  <c r="D6" i="4"/>
  <c r="U5" i="4"/>
  <c r="L5" i="4"/>
  <c r="D5" i="4"/>
  <c r="U4" i="4"/>
  <c r="L4" i="4"/>
  <c r="D4" i="4"/>
  <c r="D10" i="3"/>
  <c r="D9" i="3"/>
  <c r="U8" i="3"/>
  <c r="U7" i="3"/>
  <c r="L7" i="3"/>
  <c r="D7" i="3"/>
  <c r="U6" i="3"/>
  <c r="L6" i="3"/>
  <c r="D6" i="3"/>
  <c r="U5" i="3"/>
  <c r="L5" i="3"/>
  <c r="D5" i="3"/>
  <c r="U4" i="3"/>
  <c r="L4" i="3"/>
  <c r="D4" i="3"/>
  <c r="D10" i="2"/>
  <c r="D9" i="2"/>
  <c r="U8" i="2"/>
  <c r="U7" i="2"/>
  <c r="L7" i="2"/>
  <c r="D7" i="2"/>
  <c r="U6" i="2"/>
  <c r="L6" i="2"/>
  <c r="D6" i="2"/>
  <c r="U5" i="2"/>
  <c r="L5" i="2"/>
  <c r="D5" i="2"/>
  <c r="U4" i="2"/>
  <c r="L4" i="2"/>
  <c r="D4" i="2"/>
  <c r="V96" i="1"/>
  <c r="R96" i="1"/>
  <c r="N96" i="1"/>
  <c r="J96" i="1"/>
  <c r="X76" i="1"/>
  <c r="V76" i="1"/>
  <c r="T76" i="1"/>
  <c r="R76" i="1"/>
</calcChain>
</file>

<file path=xl/sharedStrings.xml><?xml version="1.0" encoding="utf-8"?>
<sst xmlns="http://schemas.openxmlformats.org/spreadsheetml/2006/main" count="1622" uniqueCount="1231">
  <si>
    <t>Final Inspection Report</t>
  </si>
  <si>
    <t>Client:</t>
  </si>
  <si>
    <t>Global Tech</t>
  </si>
  <si>
    <t>Supplier:</t>
  </si>
  <si>
    <t>Alpha Labs</t>
  </si>
  <si>
    <t>Client PO#:</t>
  </si>
  <si>
    <t>PO-XX328</t>
  </si>
  <si>
    <t>TX</t>
  </si>
  <si>
    <t>Inspector:</t>
  </si>
  <si>
    <t>Sam Davis</t>
  </si>
  <si>
    <t>21668732</t>
  </si>
  <si>
    <t>PM:</t>
  </si>
  <si>
    <t>Avery Wilson</t>
  </si>
  <si>
    <t>Inspection Site:</t>
  </si>
  <si>
    <t>Greenfield county, Metro city</t>
  </si>
  <si>
    <t>PO Quantity:</t>
  </si>
  <si>
    <t>N/A</t>
  </si>
  <si>
    <t>Project#:</t>
  </si>
  <si>
    <t>XXBFNO6</t>
  </si>
  <si>
    <t>Inspection date:</t>
  </si>
  <si>
    <t>Batch Quantity:</t>
  </si>
  <si>
    <t>88907PCS</t>
  </si>
  <si>
    <t xml:space="preserve">Date of Manufacture:    </t>
  </si>
  <si>
    <t>1/18/2026~1/21/2026</t>
  </si>
  <si>
    <t>Lot ID:</t>
  </si>
  <si>
    <t>9928-539898(1st lot)</t>
  </si>
  <si>
    <t>Item#:</t>
  </si>
  <si>
    <t>XX-ABC-68878-C</t>
  </si>
  <si>
    <t>Description:</t>
  </si>
  <si>
    <t>Standard Component Assembly with Seal Insert</t>
  </si>
  <si>
    <t>Sign-off sample:</t>
  </si>
  <si>
    <t>Yes</t>
  </si>
  <si>
    <t>Approved drawings</t>
  </si>
  <si>
    <t>(Drawing#:</t>
  </si>
  <si>
    <t>K1VRJNVG</t>
  </si>
  <si>
    <t>REV:</t>
  </si>
  <si>
    <t>C</t>
  </si>
  <si>
    <t>)</t>
  </si>
  <si>
    <t>Ship mark</t>
  </si>
  <si>
    <t>Approved ranges</t>
  </si>
  <si>
    <t>Ship to</t>
  </si>
  <si>
    <t>TBA</t>
  </si>
  <si>
    <t>Inspection Result:</t>
  </si>
  <si>
    <t>Accept</t>
  </si>
  <si>
    <t>Re-inspection:</t>
  </si>
  <si>
    <t>No</t>
  </si>
  <si>
    <t>&lt;&lt;=</t>
  </si>
  <si>
    <t>( Comment:</t>
  </si>
  <si>
    <t>1-Single line</t>
  </si>
  <si>
    <t>2-Single line</t>
  </si>
  <si>
    <t>3-Single line</t>
  </si>
  <si>
    <t>4-Double lines</t>
  </si>
  <si>
    <t>5-Double lines</t>
  </si>
  <si>
    <t>6-Double lines</t>
  </si>
  <si>
    <t>Inspection Result Summary</t>
  </si>
  <si>
    <t>Check points</t>
  </si>
  <si>
    <t>Sample size</t>
  </si>
  <si>
    <t>Comment</t>
  </si>
  <si>
    <t>Remark</t>
  </si>
  <si>
    <t>Dimension</t>
  </si>
  <si>
    <t>20</t>
  </si>
  <si>
    <t>Conformed</t>
  </si>
  <si>
    <t>Aesthetics</t>
  </si>
  <si>
    <t>500</t>
  </si>
  <si>
    <t>Color</t>
  </si>
  <si>
    <t>Material</t>
  </si>
  <si>
    <t>Decoration</t>
  </si>
  <si>
    <t>Packaging</t>
  </si>
  <si>
    <t>Labeling</t>
  </si>
  <si>
    <t>Assortment</t>
  </si>
  <si>
    <t>1</t>
  </si>
  <si>
    <t>Workmanship</t>
  </si>
  <si>
    <t>Function</t>
  </si>
  <si>
    <t>Aesthetic Inspection</t>
  </si>
  <si>
    <t>Inspection method:</t>
  </si>
  <si>
    <t>ANSI/ASQ Z1.4</t>
  </si>
  <si>
    <t>Sampling plan:</t>
  </si>
  <si>
    <t>Single sampling normal inspection</t>
  </si>
  <si>
    <t>Sampling level:</t>
  </si>
  <si>
    <t>Level 2</t>
  </si>
  <si>
    <t>Acceptable Quality Level (AQL):</t>
  </si>
  <si>
    <t>Critical A:</t>
  </si>
  <si>
    <t>Critical B:</t>
  </si>
  <si>
    <t xml:space="preserve"> Major:</t>
  </si>
  <si>
    <t>Minor:</t>
  </si>
  <si>
    <t>4.0</t>
  </si>
  <si>
    <t>Sample size:</t>
  </si>
  <si>
    <t>No. of carton drawn:</t>
  </si>
  <si>
    <t>Opened carton No.:</t>
  </si>
  <si>
    <t>No carton#</t>
  </si>
  <si>
    <t>No.</t>
  </si>
  <si>
    <t>Defects description</t>
  </si>
  <si>
    <t>Cri. A</t>
  </si>
  <si>
    <t>Cri. B</t>
  </si>
  <si>
    <t>Major</t>
  </si>
  <si>
    <t>Minor</t>
  </si>
  <si>
    <t>K. Seal gap</t>
  </si>
  <si>
    <t>J. Thread irregularity</t>
  </si>
  <si>
    <t>Total Defectives</t>
  </si>
  <si>
    <t>Maximum Defectives</t>
  </si>
  <si>
    <t>Inspection qty:</t>
  </si>
  <si>
    <t>&gt;80%</t>
  </si>
  <si>
    <t>Item#</t>
  </si>
  <si>
    <t>HCT PO No.</t>
  </si>
  <si>
    <t>Batch qty.</t>
  </si>
  <si>
    <t>Inspection quantity</t>
  </si>
  <si>
    <t>No. of carton</t>
  </si>
  <si>
    <t>Packed</t>
  </si>
  <si>
    <t>Unpacked</t>
  </si>
  <si>
    <t>XX-ABC-57052-C</t>
  </si>
  <si>
    <t>Total:</t>
  </si>
  <si>
    <t>Carton Check</t>
  </si>
  <si>
    <t>Check point</t>
  </si>
  <si>
    <t>Inner carton</t>
  </si>
  <si>
    <t>Outer carton</t>
  </si>
  <si>
    <t>Quantity per carton:</t>
  </si>
  <si>
    <t>Part C &amp; Insert</t>
  </si>
  <si>
    <t>Dimension of carton (cm):</t>
  </si>
  <si>
    <t>L x W X H</t>
  </si>
  <si>
    <t>x</t>
  </si>
  <si>
    <t>47</t>
  </si>
  <si>
    <t>32</t>
  </si>
  <si>
    <t>43</t>
  </si>
  <si>
    <t>Weight of carton (Kg):</t>
  </si>
  <si>
    <t>Gross/Net</t>
  </si>
  <si>
    <t>/</t>
  </si>
  <si>
    <t>15.3</t>
  </si>
  <si>
    <t>14</t>
  </si>
  <si>
    <t>Scan the barcode number:</t>
  </si>
  <si>
    <t>(Result:</t>
  </si>
  <si>
    <t>liner</t>
  </si>
  <si>
    <t>33</t>
  </si>
  <si>
    <t>5.2</t>
  </si>
  <si>
    <t>4.45</t>
  </si>
  <si>
    <t>Dimension and Function check -</t>
  </si>
  <si>
    <t>S-2</t>
  </si>
  <si>
    <t>13+7</t>
  </si>
  <si>
    <t>Dimension chart</t>
  </si>
  <si>
    <t>Measure</t>
  </si>
  <si>
    <t>Standard</t>
  </si>
  <si>
    <t>Custom1</t>
  </si>
  <si>
    <t>Custom2</t>
  </si>
  <si>
    <t>Custom3</t>
  </si>
  <si>
    <t>Part A Length</t>
  </si>
  <si>
    <t>35.38±0.16(mm)</t>
  </si>
  <si>
    <t>Part A Width</t>
  </si>
  <si>
    <t>47.37±0.31(in)</t>
  </si>
  <si>
    <t>Part B Thick</t>
  </si>
  <si>
    <t>31.75±0.33(cm)</t>
  </si>
  <si>
    <t>Part B Diam</t>
  </si>
  <si>
    <t>34.58±0.3(cm)</t>
  </si>
  <si>
    <t>Part C OD</t>
  </si>
  <si>
    <t>47.06±0.14(in)</t>
  </si>
  <si>
    <t>Part C ID</t>
  </si>
  <si>
    <t>19.14±0.17(mm)</t>
  </si>
  <si>
    <t>Part D Height</t>
  </si>
  <si>
    <t>checked</t>
  </si>
  <si>
    <t>by</t>
  </si>
  <si>
    <t>ø4.56</t>
  </si>
  <si>
    <t>and</t>
  </si>
  <si>
    <t>ø4.64</t>
  </si>
  <si>
    <t>pin</t>
  </si>
  <si>
    <t>gauges</t>
  </si>
  <si>
    <t>,</t>
  </si>
  <si>
    <t>all</t>
  </si>
  <si>
    <t>within</t>
  </si>
  <si>
    <t>spec.</t>
  </si>
  <si>
    <t>35.23±0.18(cm)</t>
  </si>
  <si>
    <t>Part D Width</t>
  </si>
  <si>
    <t>46.81±0.47(mm)</t>
  </si>
  <si>
    <t>Part E Length</t>
  </si>
  <si>
    <t>25.62±0.5(mm)</t>
  </si>
  <si>
    <t>Part E Diam</t>
  </si>
  <si>
    <t>&gt;5</t>
  </si>
  <si>
    <t>8.3±0.15(cm)</t>
  </si>
  <si>
    <t>Part F OD</t>
  </si>
  <si>
    <t>10.96±0.21(mm)</t>
  </si>
  <si>
    <t>Part F Thick</t>
  </si>
  <si>
    <t>44.57±0.22(mm)</t>
  </si>
  <si>
    <t>Part G Width</t>
  </si>
  <si>
    <t>&gt;7.5</t>
  </si>
  <si>
    <t>24.72±0.29(cm)</t>
  </si>
  <si>
    <t>Part G Height</t>
  </si>
  <si>
    <t>OK</t>
  </si>
  <si>
    <t>32.53±0.49(in)</t>
  </si>
  <si>
    <t>Part H Length</t>
  </si>
  <si>
    <t>28.8±0.35(in)</t>
  </si>
  <si>
    <t>Part H OD</t>
  </si>
  <si>
    <t>18.47±0.35(mm)</t>
  </si>
  <si>
    <t>Tape test&amp;Cross hatch</t>
  </si>
  <si>
    <t>16.9±0.45(in)</t>
  </si>
  <si>
    <t>OFC</t>
  </si>
  <si>
    <t>29.9±0.17(in)</t>
  </si>
  <si>
    <t>Date:</t>
  </si>
  <si>
    <t>&lt;-</t>
  </si>
  <si>
    <t>All info fill in automatically per FRI report</t>
  </si>
  <si>
    <t>Photos</t>
  </si>
  <si>
    <t>defects found No</t>
  </si>
  <si>
    <t>OD stem "D"</t>
  </si>
  <si>
    <t>disc/jar</t>
  </si>
  <si>
    <t>air bubble</t>
  </si>
  <si>
    <t>OD "S" stem</t>
  </si>
  <si>
    <t>?times</t>
  </si>
  <si>
    <t>embedded bottle dot in black</t>
  </si>
  <si>
    <t>"Wing"thickness</t>
  </si>
  <si>
    <t>（?oz.in) smoothly</t>
  </si>
  <si>
    <t>material dot black in</t>
  </si>
  <si>
    <t>( *</t>
  </si>
  <si>
    <t>?kgf</t>
  </si>
  <si>
    <t>was cup top the up rotated to not</t>
  </si>
  <si>
    <t>(BOTTOM)ID</t>
  </si>
  <si>
    <t>spatula/cap/jar</t>
  </si>
  <si>
    <t>mark cutting</t>
  </si>
  <si>
    <t>Cap/Wiper/Bottle</t>
  </si>
  <si>
    <t>damaged</t>
  </si>
  <si>
    <t>(UP)ID</t>
  </si>
  <si>
    <t>cap Cap/Base/Disc/Inner</t>
  </si>
  <si>
    <t>deformation</t>
  </si>
  <si>
    <t>OD A-shell</t>
  </si>
  <si>
    <t>cap/sifter/jar</t>
  </si>
  <si>
    <t>mark dent</t>
  </si>
  <si>
    <t>Sifter&amp;Jar&amp;Cap</t>
  </si>
  <si>
    <t>dirt mark</t>
  </si>
  <si>
    <t>L Acetate</t>
  </si>
  <si>
    <t>palette With AL</t>
  </si>
  <si>
    <t>mark dirt</t>
  </si>
  <si>
    <t>Acetate thickness</t>
  </si>
  <si>
    <t>normal use</t>
  </si>
  <si>
    <t>be cleaned) mark(can dirt</t>
  </si>
  <si>
    <t>W Acetate</t>
  </si>
  <si>
    <t>correct be and scanned can</t>
  </si>
  <si>
    <t>mark(clean dirt out)</t>
  </si>
  <si>
    <t>H collar actuator to</t>
  </si>
  <si>
    <t>cardboard packagings of the of Control sticking</t>
  </si>
  <si>
    <t>be dirty cleaned) mark (can</t>
  </si>
  <si>
    <t>collar with actuator H</t>
  </si>
  <si>
    <t>?(kgf)</t>
  </si>
  <si>
    <t>be cleaned) dust mark(can</t>
  </si>
  <si>
    <t>and corrected can be scanned</t>
  </si>
  <si>
    <t>mark(clean dust out)</t>
  </si>
  <si>
    <t>AL</t>
  </si>
  <si>
    <t>Brush UC with</t>
  </si>
  <si>
    <t>dot in embedded black</t>
  </si>
  <si>
    <t>AL H cap</t>
  </si>
  <si>
    <t>per PPS</t>
  </si>
  <si>
    <t>blakc in dot embedded</t>
  </si>
  <si>
    <t>pan AL</t>
  </si>
  <si>
    <t>&gt;?kgf</t>
  </si>
  <si>
    <t>embedded in dirt</t>
  </si>
  <si>
    <t>?kgf)</t>
  </si>
  <si>
    <t>curled is up film</t>
  </si>
  <si>
    <t>ALL</t>
  </si>
  <si>
    <t>＞?kgf</t>
  </si>
  <si>
    <t>finger print</t>
  </si>
  <si>
    <t>all OK</t>
  </si>
  <si>
    <t>use per normal</t>
  </si>
  <si>
    <t>flash</t>
  </si>
  <si>
    <t>also</t>
  </si>
  <si>
    <t>Cap/sifter/jar</t>
  </si>
  <si>
    <t>flow mark</t>
  </si>
  <si>
    <t>disc/jar/cap</t>
  </si>
  <si>
    <t>residue foil</t>
  </si>
  <si>
    <t>application force</t>
  </si>
  <si>
    <t>?kgf.cm</t>
  </si>
  <si>
    <t>mark fold</t>
  </si>
  <si>
    <t>application torque</t>
  </si>
  <si>
    <t>?KGF</t>
  </si>
  <si>
    <t>component foreign</t>
  </si>
  <si>
    <t>H applicator</t>
  </si>
  <si>
    <t>with palette</t>
  </si>
  <si>
    <t>foreign fiber</t>
  </si>
  <si>
    <t>L applicator</t>
  </si>
  <si>
    <t>insert with &amp; Sleeve palette card &amp;</t>
  </si>
  <si>
    <t>foreign fiber(can cleaned) be</t>
  </si>
  <si>
    <t>applicator Thickness</t>
  </si>
  <si>
    <t>&gt;? Kgf</t>
  </si>
  <si>
    <t>foreign fiber(can’t be removed)</t>
  </si>
  <si>
    <t>collar H applicator to</t>
  </si>
  <si>
    <t>with tube</t>
  </si>
  <si>
    <t>mark glue</t>
  </si>
  <si>
    <t>Assebly Total H</t>
  </si>
  <si>
    <t>seen glue visible no be can</t>
  </si>
  <si>
    <t>glue be cleaned) mark(can</t>
  </si>
  <si>
    <t>Assemble OD position</t>
  </si>
  <si>
    <t>be after paper, no glue torn can seen</t>
  </si>
  <si>
    <t>mark hit</t>
  </si>
  <si>
    <t>Assembled H cap with</t>
  </si>
  <si>
    <t>cap/bottle</t>
  </si>
  <si>
    <t>mark ink</t>
  </si>
  <si>
    <t>Assembled Jar with H</t>
  </si>
  <si>
    <t>?ML</t>
  </si>
  <si>
    <t>liner missing</t>
  </si>
  <si>
    <t>Cap with Assembled OD</t>
  </si>
  <si>
    <t>Pot with</t>
  </si>
  <si>
    <t>rollerball missing</t>
  </si>
  <si>
    <t>OD Assembled with Jar</t>
  </si>
  <si>
    <t>? kgf</t>
  </si>
  <si>
    <t>nail mark</t>
  </si>
  <si>
    <t>H assembly</t>
  </si>
  <si>
    <t>and with Acetate pan AL</t>
  </si>
  <si>
    <t>parting line obvious</t>
  </si>
  <si>
    <t>H Assembly</t>
  </si>
  <si>
    <t>palette&amp;Acetate</t>
  </si>
  <si>
    <t>paper separated</t>
  </si>
  <si>
    <t>gap Assembly</t>
  </si>
  <si>
    <t>sheet palette,acetate with</t>
  </si>
  <si>
    <t>mark pitting</t>
  </si>
  <si>
    <t>Gap Assembly</t>
  </si>
  <si>
    <t>Plaque/Palette</t>
  </si>
  <si>
    <t>be cleaned) debris(can plastic</t>
  </si>
  <si>
    <t>Assembly jar gap between and body</t>
  </si>
  <si>
    <t>scanned be Can and correct</t>
  </si>
  <si>
    <t>pock markf</t>
  </si>
  <si>
    <t>Assembly and cap bottle gap between</t>
  </si>
  <si>
    <t>kgf.cm ?</t>
  </si>
  <si>
    <t>poor H/S</t>
  </si>
  <si>
    <t>collar gap and between Assembly cap</t>
  </si>
  <si>
    <t>sifter/jar</t>
  </si>
  <si>
    <t>poor stamping hot</t>
  </si>
  <si>
    <t>cap between collar gap Assembly with</t>
  </si>
  <si>
    <t>remain no glue</t>
  </si>
  <si>
    <t>printing poor</t>
  </si>
  <si>
    <t>base) with gap(body Assembly</t>
  </si>
  <si>
    <t>PPS</t>
  </si>
  <si>
    <t>poor spraying</t>
  </si>
  <si>
    <t>with Assembly gap(Body pot)</t>
  </si>
  <si>
    <t>?ml</t>
  </si>
  <si>
    <t>mark press</t>
  </si>
  <si>
    <t>with Assembly gap(cap body)</t>
  </si>
  <si>
    <t>by label/plastic compact, manual</t>
  </si>
  <si>
    <t>red dot</t>
  </si>
  <si>
    <t>assembly H</t>
  </si>
  <si>
    <t>power No breakage&amp;separation,no leakage</t>
  </si>
  <si>
    <t>reverse position</t>
  </si>
  <si>
    <t>assembly with base H</t>
  </si>
  <si>
    <t>be glue and no peel off can remain</t>
  </si>
  <si>
    <t>sawtooth</t>
  </si>
  <si>
    <t>H with assembly Cap</t>
  </si>
  <si>
    <t>torque over slippage after pistion and</t>
  </si>
  <si>
    <t>mark scratched</t>
  </si>
  <si>
    <t>H with Assembly Cap</t>
  </si>
  <si>
    <t>cap,wiper&amp;bottle</t>
  </si>
  <si>
    <t>scratched mark</t>
  </si>
  <si>
    <t>with Assembly H cap&amp;wiper</t>
  </si>
  <si>
    <t>cap,wiper,bottle</t>
  </si>
  <si>
    <t>swiveling smoothly not</t>
  </si>
  <si>
    <t>assembly OD</t>
  </si>
  <si>
    <t>refer board to approved range</t>
  </si>
  <si>
    <t>paillette uneven</t>
  </si>
  <si>
    <t>Assembly OD</t>
  </si>
  <si>
    <t>+ +CAP BASE POT</t>
  </si>
  <si>
    <t>wrinkled mark</t>
  </si>
  <si>
    <t>Toatal H assembly</t>
  </si>
  <si>
    <t>UC with</t>
  </si>
  <si>
    <t>total gap Assembly</t>
  </si>
  <si>
    <t>flute Liner with</t>
  </si>
  <si>
    <t>total assembly H</t>
  </si>
  <si>
    <t>?g</t>
  </si>
  <si>
    <t>Total H assembly</t>
  </si>
  <si>
    <t>Cap/Bottle/Wiper</t>
  </si>
  <si>
    <t>H Assembly total</t>
  </si>
  <si>
    <t>lbf.in ?</t>
  </si>
  <si>
    <t>Assembly H Total</t>
  </si>
  <si>
    <t>Cap/Sifter/Jar</t>
  </si>
  <si>
    <t>(with Assembly base,sifter) total H</t>
  </si>
  <si>
    <t>torque application mini of half</t>
  </si>
  <si>
    <t>bottle,pump) Assembly total (With H</t>
  </si>
  <si>
    <t>&gt;?kgf.cm</t>
  </si>
  <si>
    <t>H (with bottle) total Assembly</t>
  </si>
  <si>
    <t>PPS:?g</t>
  </si>
  <si>
    <t>total (with H Assembly cap, sifter)</t>
  </si>
  <si>
    <t>pump/bottle</t>
  </si>
  <si>
    <t>Assembly total cap) (with H</t>
  </si>
  <si>
    <t>coaster/bottle</t>
  </si>
  <si>
    <t>(with total logo) H Assembly</t>
  </si>
  <si>
    <t>rollers finger,spin a with the</t>
  </si>
  <si>
    <t>H Assembly Pot) total (with</t>
  </si>
  <si>
    <t>sifter/glass jar</t>
  </si>
  <si>
    <t>Assembly H(body total with cap)</t>
  </si>
  <si>
    <t>plaque/compact</t>
  </si>
  <si>
    <t>with assembly total H(cap,pump bottle)</t>
  </si>
  <si>
    <t>lid positioning and for required No base</t>
  </si>
  <si>
    <t>H(cap,pump Assembly total with bottle)</t>
  </si>
  <si>
    <t>Acetate Palette with Cover</t>
  </si>
  <si>
    <t>H(with total Assembly Jar,Spatula)</t>
  </si>
  <si>
    <t>with insert &amp; palette &amp; card UC</t>
  </si>
  <si>
    <t>total Assembly L</t>
  </si>
  <si>
    <t>and scanning Can be correct</t>
  </si>
  <si>
    <t>Assembly total OD</t>
  </si>
  <si>
    <t>Tray with &amp; Seleeve</t>
  </si>
  <si>
    <t>OD(cap,pump assembly total bottle) with</t>
  </si>
  <si>
    <t>&amp; insert Tray card with</t>
  </si>
  <si>
    <t>Assembly bottle) with OD(cap,pump total</t>
  </si>
  <si>
    <t>with seleeve palette,acetate sheet, PET</t>
  </si>
  <si>
    <t>Assembly W total</t>
  </si>
  <si>
    <t>Plaque palette with</t>
  </si>
  <si>
    <t>application of torque(kgf.cm) larger than half</t>
  </si>
  <si>
    <t>QC of HCT Authorized Inspector</t>
  </si>
  <si>
    <t>palette/acetate</t>
  </si>
  <si>
    <t>"clasp OD" Base</t>
  </si>
  <si>
    <t>cap/jar</t>
  </si>
  <si>
    <t>Base "Depth"</t>
  </si>
  <si>
    <t>&lt;？times</t>
  </si>
  <si>
    <t>Base "E"</t>
  </si>
  <si>
    <t>cap/Jar</t>
  </si>
  <si>
    <t>Base "ID"</t>
  </si>
  <si>
    <t>Kgf.cm ?</t>
  </si>
  <si>
    <t>"OD" Base</t>
  </si>
  <si>
    <t>?(kgf.cm)</t>
  </si>
  <si>
    <t>H and Base mechanise</t>
  </si>
  <si>
    <t>≥?kgf.cm</t>
  </si>
  <si>
    <t>locked) (cup up Base H assembled</t>
  </si>
  <si>
    <t>of torque(kgf.cm) &gt;half application</t>
  </si>
  <si>
    <t>circle Base line locking</t>
  </si>
  <si>
    <t>?N</t>
  </si>
  <si>
    <t>Base clasp OD</t>
  </si>
  <si>
    <t>lbs.in ?</t>
  </si>
  <si>
    <t>Depth Base</t>
  </si>
  <si>
    <t>Customer goods</t>
  </si>
  <si>
    <t>Base H</t>
  </si>
  <si>
    <t>opening of force actuator</t>
  </si>
  <si>
    <t>with collar Base H</t>
  </si>
  <si>
    <t>priming</t>
  </si>
  <si>
    <t>H with base shell</t>
  </si>
  <si>
    <t>dosage</t>
  </si>
  <si>
    <t>Base height</t>
  </si>
  <si>
    <t>visual</t>
  </si>
  <si>
    <t>height (without Base cup)</t>
  </si>
  <si>
    <t>with bottle,pump cap</t>
  </si>
  <si>
    <t>Base inner "Depth"</t>
  </si>
  <si>
    <t>Spatula/cap/jar</t>
  </si>
  <si>
    <t>L Base</t>
  </si>
  <si>
    <t>compact with</t>
  </si>
  <si>
    <t>"H" neck Base</t>
  </si>
  <si>
    <t>Cap/Jar/Sifter</t>
  </si>
  <si>
    <t>OD Base</t>
  </si>
  <si>
    <t>sticker with sifter</t>
  </si>
  <si>
    <t>Base OD Rib</t>
  </si>
  <si>
    <t>corrected Can be and scanning</t>
  </si>
  <si>
    <t>RIB Base OD</t>
  </si>
  <si>
    <t>pump/bottle/Cap</t>
  </si>
  <si>
    <t>Ribs distance(X) Base</t>
  </si>
  <si>
    <t>be corrected and Can scanned</t>
  </si>
  <si>
    <t>Ribs distance(Y) Base</t>
  </si>
  <si>
    <t>inspection spec) (No in defined ≥? kgf.cm</t>
  </si>
  <si>
    <t>width Base snap</t>
  </si>
  <si>
    <t>cap/Bottle Cap/Inner</t>
  </si>
  <si>
    <t>Base OD snaps</t>
  </si>
  <si>
    <t>? Lbf.in</t>
  </si>
  <si>
    <t>total H Base</t>
  </si>
  <si>
    <t>≥?gf</t>
  </si>
  <si>
    <t>base W</t>
  </si>
  <si>
    <t>and no sharp scratchy feel</t>
  </si>
  <si>
    <t>W Base</t>
  </si>
  <si>
    <t>squeaking no sound</t>
  </si>
  <si>
    <t>Cap/Jar</t>
  </si>
  <si>
    <t>ID big Well</t>
  </si>
  <si>
    <t>Cap/jar</t>
  </si>
  <si>
    <t>assembly H Body</t>
  </si>
  <si>
    <t>sticker No powder OK surface non-woven is or on</t>
  </si>
  <si>
    <t>Body OD assembly</t>
  </si>
  <si>
    <t>cap/base</t>
  </si>
  <si>
    <t>Body ID</t>
  </si>
  <si>
    <t>?gf</t>
  </si>
  <si>
    <t>body OD</t>
  </si>
  <si>
    <t>UC/dust cover/pan</t>
  </si>
  <si>
    <t>Body OD</t>
  </si>
  <si>
    <t>carton palette/Unit</t>
  </si>
  <si>
    <t>bottle</t>
  </si>
  <si>
    <t>sheet palette/acetate</t>
  </si>
  <si>
    <t>Bottle "E"</t>
  </si>
  <si>
    <t>≤? times</t>
  </si>
  <si>
    <t>"E" assembled) Bottle (wiper</t>
  </si>
  <si>
    <t>compact Plastic with pan</t>
  </si>
  <si>
    <t>Bottle "ID"</t>
  </si>
  <si>
    <t>with Cap Tube</t>
  </si>
  <si>
    <t>H" "Neck Bottle</t>
  </si>
  <si>
    <t>AQL sampling</t>
  </si>
  <si>
    <t>Bottle "OD"</t>
  </si>
  <si>
    <t>correct, C be than can and grade larger scanned</t>
  </si>
  <si>
    <t>bottle "T"</t>
  </si>
  <si>
    <t>or bulk water friction, dry without</t>
  </si>
  <si>
    <t>Bottle "T"</t>
  </si>
  <si>
    <t>&gt; Kgf ?</t>
  </si>
  <si>
    <t>"T"(wiper Bottle assembled)</t>
  </si>
  <si>
    <t>Min.? gf</t>
  </si>
  <si>
    <t>bottle base force cap separation and bottle</t>
  </si>
  <si>
    <t>?kgf↑</t>
  </si>
  <si>
    <t>and force base bottle bottle separation</t>
  </si>
  <si>
    <t>pencil with cap</t>
  </si>
  <si>
    <t>bottle bottom OD</t>
  </si>
  <si>
    <t>palette/dust cover/pan</t>
  </si>
  <si>
    <t>collar "E" Bottle</t>
  </si>
  <si>
    <t>bottle, label/plastic manual by</t>
  </si>
  <si>
    <t>Bottle "ID" collar</t>
  </si>
  <si>
    <t>label/paper, by manual</t>
  </si>
  <si>
    <t>collar "T" Bottle</t>
  </si>
  <si>
    <t>well with</t>
  </si>
  <si>
    <t>collar Bottle OD</t>
  </si>
  <si>
    <t>Cap/Jar/Disc</t>
  </si>
  <si>
    <t>OD bottle down</t>
  </si>
  <si>
    <t>dust cover/jig</t>
  </si>
  <si>
    <t>E bottle</t>
  </si>
  <si>
    <t>?oz.in</t>
  </si>
  <si>
    <t>E Bottle</t>
  </si>
  <si>
    <t>crease per</t>
  </si>
  <si>
    <t>bottle H</t>
  </si>
  <si>
    <t>H Bottle</t>
  </si>
  <si>
    <t>H BOTTLE</t>
  </si>
  <si>
    <t>Bottle H (without neck)</t>
  </si>
  <si>
    <t>Bottle shoulder H with</t>
  </si>
  <si>
    <t>without Height Bottle neck</t>
  </si>
  <si>
    <t>I Bottle</t>
  </si>
  <si>
    <t>bottle ID</t>
  </si>
  <si>
    <t>ID Bottle</t>
  </si>
  <si>
    <t>inner Bottle depth</t>
  </si>
  <si>
    <t>depth Inner Bottle</t>
  </si>
  <si>
    <t>bottle L</t>
  </si>
  <si>
    <t>Bottle L</t>
  </si>
  <si>
    <t>bottom mouth bottle to</t>
  </si>
  <si>
    <t>wiper) neck Bottle total H assebly (with</t>
  </si>
  <si>
    <t>Bottle assembly neck total H</t>
  </si>
  <si>
    <t>bottle Neck H</t>
  </si>
  <si>
    <t>Bottle H neck</t>
  </si>
  <si>
    <t>Neck H Bottle</t>
  </si>
  <si>
    <t>H neck Bottle (with wiper)</t>
  </si>
  <si>
    <t>OD bottle</t>
  </si>
  <si>
    <t>Bottle OD</t>
  </si>
  <si>
    <t>bottle T</t>
  </si>
  <si>
    <t>Bottle T</t>
  </si>
  <si>
    <t>H bottle total</t>
  </si>
  <si>
    <t>total H(with Bottle wiper)</t>
  </si>
  <si>
    <t>bottle upper OD</t>
  </si>
  <si>
    <t>W bottle</t>
  </si>
  <si>
    <t>Bottle W</t>
  </si>
  <si>
    <t>Thickness wall Bottle</t>
  </si>
  <si>
    <t>OD Bottle(upper)</t>
  </si>
  <si>
    <t>pull Bottle/Cap force assembly</t>
  </si>
  <si>
    <t>ID Bottom</t>
  </si>
  <si>
    <t>bottom OD</t>
  </si>
  <si>
    <t>Bottom OD</t>
  </si>
  <si>
    <t>Bottom W</t>
  </si>
  <si>
    <t>Brrrel H</t>
  </si>
  <si>
    <t>L brush</t>
  </si>
  <si>
    <t>Brush L</t>
  </si>
  <si>
    <t>Bulb H</t>
  </si>
  <si>
    <t>Bulb OD</t>
  </si>
  <si>
    <t>Bulb/cap retention force</t>
  </si>
  <si>
    <t>Cap</t>
  </si>
  <si>
    <t>CAP</t>
  </si>
  <si>
    <t>H Cap</t>
  </si>
  <si>
    <t>H CAP</t>
  </si>
  <si>
    <t>"Depth" Cap</t>
  </si>
  <si>
    <t>Cap "E"</t>
  </si>
  <si>
    <t>"H" Cap</t>
  </si>
  <si>
    <t>"ID" Cap</t>
  </si>
  <si>
    <t>Cap "OD"</t>
  </si>
  <si>
    <t>"T" Cap</t>
  </si>
  <si>
    <t>Pump &amp; OD total Cap</t>
  </si>
  <si>
    <t>tube &amp; total Pump, H Cap</t>
  </si>
  <si>
    <t>Cap Height asm</t>
  </si>
  <si>
    <t>(with Cap total inner) stem assemble depth</t>
  </si>
  <si>
    <t>rocking line Cap ID circle</t>
  </si>
  <si>
    <t>depth Cap</t>
  </si>
  <si>
    <t>Cap Depth</t>
  </si>
  <si>
    <t>E cap</t>
  </si>
  <si>
    <t>E Cap</t>
  </si>
  <si>
    <t>CAP E</t>
  </si>
  <si>
    <t>cap H</t>
  </si>
  <si>
    <t>Cap H</t>
  </si>
  <si>
    <t>"Height") deco's H include Cap (No</t>
  </si>
  <si>
    <t>(ref) H Cap</t>
  </si>
  <si>
    <t>Cap H stem applicator &amp; with</t>
  </si>
  <si>
    <t>Cap stem&amp;applicator H with</t>
  </si>
  <si>
    <t>Cap without stem H</t>
  </si>
  <si>
    <t>without H stem&amp;brush Cap</t>
  </si>
  <si>
    <t>Cap H tube without</t>
  </si>
  <si>
    <t>Cap Height</t>
  </si>
  <si>
    <t>ID hole Cap</t>
  </si>
  <si>
    <t>Cap ID</t>
  </si>
  <si>
    <t>inner depth Cap</t>
  </si>
  <si>
    <t>Cap Inner L</t>
  </si>
  <si>
    <t>W Cap Inner</t>
  </si>
  <si>
    <t>cap L</t>
  </si>
  <si>
    <t>L Cap</t>
  </si>
  <si>
    <t>cap brush with L</t>
  </si>
  <si>
    <t>brush Cap without L</t>
  </si>
  <si>
    <t>OD cap</t>
  </si>
  <si>
    <t>Cap OD</t>
  </si>
  <si>
    <t>CAP OD</t>
  </si>
  <si>
    <t>(ref) OD Cap</t>
  </si>
  <si>
    <t>orifice Cap</t>
  </si>
  <si>
    <t>ID ribs Cap</t>
  </si>
  <si>
    <t>Cap Width Snap</t>
  </si>
  <si>
    <t>stem "OD" Cap</t>
  </si>
  <si>
    <t>T cap</t>
  </si>
  <si>
    <t>Cap T</t>
  </si>
  <si>
    <t>CAP T</t>
  </si>
  <si>
    <t>cap assembly Height closure to</t>
  </si>
  <si>
    <t>Cap total H</t>
  </si>
  <si>
    <t>total H deco's "Height") (Include Cap</t>
  </si>
  <si>
    <t>Cap total L(with brush)</t>
  </si>
  <si>
    <t>length total Cap</t>
  </si>
  <si>
    <t>W cap</t>
  </si>
  <si>
    <t>Cap W</t>
  </si>
  <si>
    <t>W Cap (ref)</t>
  </si>
  <si>
    <t>cap collar with H</t>
  </si>
  <si>
    <t>Cap with collar H</t>
  </si>
  <si>
    <t>Cap"Depth"</t>
  </si>
  <si>
    <t>Cap"E"</t>
  </si>
  <si>
    <t>Cap"T"</t>
  </si>
  <si>
    <t>cap force retention cap/inner</t>
  </si>
  <si>
    <t>Cap+collar H</t>
  </si>
  <si>
    <t>H Cap+housing</t>
  </si>
  <si>
    <t>check</t>
  </si>
  <si>
    <t>Checked</t>
  </si>
  <si>
    <t>Clasp OD</t>
  </si>
  <si>
    <t>H collar</t>
  </si>
  <si>
    <t>H Collar</t>
  </si>
  <si>
    <t>collar OD</t>
  </si>
  <si>
    <t>Collar OD</t>
  </si>
  <si>
    <t>Collar T</t>
  </si>
  <si>
    <t>removal force Collar/Bottle</t>
  </si>
  <si>
    <t>compare</t>
  </si>
  <si>
    <t>Compare</t>
  </si>
  <si>
    <t>with PPS compare</t>
  </si>
  <si>
    <t>compared</t>
  </si>
  <si>
    <t>container-cap bottle abnd</t>
  </si>
  <si>
    <t>"E" Cover</t>
  </si>
  <si>
    <t>"H" Cover</t>
  </si>
  <si>
    <t>ID" Cover line "Locking</t>
  </si>
  <si>
    <t>Cover "OD"</t>
  </si>
  <si>
    <t>Crimp d edge</t>
  </si>
  <si>
    <t>Cup "Depth"</t>
  </si>
  <si>
    <t>"ID" Cup</t>
  </si>
  <si>
    <t>cup Depth</t>
  </si>
  <si>
    <t>depth Cup</t>
  </si>
  <si>
    <t>Cup Depth</t>
  </si>
  <si>
    <t>Cup depth -d</t>
  </si>
  <si>
    <t>-s Cup depth</t>
  </si>
  <si>
    <t>cup position) down depth (Swivel</t>
  </si>
  <si>
    <t>down position) Cup (Swivel depth</t>
  </si>
  <si>
    <t>cup ID</t>
  </si>
  <si>
    <t>ID Cup</t>
  </si>
  <si>
    <t>CUP ID</t>
  </si>
  <si>
    <t>Cup ID-d</t>
  </si>
  <si>
    <t>ID-s Cup</t>
  </si>
  <si>
    <t>protrusion Cup</t>
  </si>
  <si>
    <t>H Cup remain</t>
  </si>
  <si>
    <t>depth Cup down screw</t>
  </si>
  <si>
    <t>distance travel cup</t>
  </si>
  <si>
    <t>Width curler</t>
  </si>
  <si>
    <t>depth</t>
  </si>
  <si>
    <t>Depth</t>
  </si>
  <si>
    <t>DEPTH</t>
  </si>
  <si>
    <t>(without liner) DEPTH</t>
  </si>
  <si>
    <t>at position cup of down depth</t>
  </si>
  <si>
    <t>cap of Depth edge to</t>
  </si>
  <si>
    <t>plug of Depth to end</t>
  </si>
  <si>
    <t>to pintle depth</t>
  </si>
  <si>
    <t>depth-d</t>
  </si>
  <si>
    <t>edge of cap to depth-pintle</t>
  </si>
  <si>
    <t>depth-s</t>
  </si>
  <si>
    <t>gasket) depth（without</t>
  </si>
  <si>
    <t>Dip tube</t>
  </si>
  <si>
    <t>H Disc</t>
  </si>
  <si>
    <t>OD Disc</t>
  </si>
  <si>
    <t>end of stem and between distance applicator</t>
  </si>
  <si>
    <t>between distance beads</t>
  </si>
  <si>
    <t>curler Distance between plate and</t>
  </si>
  <si>
    <t>tube to between end end distance diptube of of edge</t>
  </si>
  <si>
    <t>outer Pintle between cap edge of to distance</t>
  </si>
  <si>
    <t>inner top of top distance of pipette to cap from</t>
  </si>
  <si>
    <t>Down OD</t>
  </si>
  <si>
    <t>down Orifice ID</t>
  </si>
  <si>
    <t>drop test</t>
  </si>
  <si>
    <t>Drop test</t>
  </si>
  <si>
    <t>E Dropper</t>
  </si>
  <si>
    <t>H Dropper</t>
  </si>
  <si>
    <t>OD Dropper</t>
  </si>
  <si>
    <t>Dropper T</t>
  </si>
  <si>
    <t>E</t>
  </si>
  <si>
    <t>L eyeliner brush</t>
  </si>
  <si>
    <t>Eyeliner L brush</t>
  </si>
  <si>
    <t>Eyeliner OD brush</t>
  </si>
  <si>
    <t>failed</t>
  </si>
  <si>
    <t>fitting</t>
  </si>
  <si>
    <t>Flatform Depth</t>
  </si>
  <si>
    <t>OD flute</t>
  </si>
  <si>
    <t>for</t>
  </si>
  <si>
    <t>Frame Width</t>
  </si>
  <si>
    <t>gap</t>
  </si>
  <si>
    <t>Gap</t>
  </si>
  <si>
    <t>assembled Gap between cover,after bottle and</t>
  </si>
  <si>
    <t>between cap base Gap and</t>
  </si>
  <si>
    <t>cap between botle and gap</t>
  </si>
  <si>
    <t>and bottle cap Gap between</t>
  </si>
  <si>
    <t>bottle(after cap between and Gap assembled)</t>
  </si>
  <si>
    <t>glass between and cap Gap bottle</t>
  </si>
  <si>
    <t>jar and glass between Gap cap</t>
  </si>
  <si>
    <t>and cap jar Gap between</t>
  </si>
  <si>
    <t>between Jar and cap Gap</t>
  </si>
  <si>
    <t>tube between cap Gap and</t>
  </si>
  <si>
    <t>bottle cap with between Gap</t>
  </si>
  <si>
    <t>between with Gap collar cap</t>
  </si>
  <si>
    <t>base cover gap and between</t>
  </si>
  <si>
    <t>between and cover base Gap</t>
  </si>
  <si>
    <t>Gap cover between jar and</t>
  </si>
  <si>
    <t>Gap and base lid between</t>
  </si>
  <si>
    <t>between platform and Gap base</t>
  </si>
  <si>
    <t>bottle and pump gap between</t>
  </si>
  <si>
    <t>Gap between bottle and pump</t>
  </si>
  <si>
    <t>gasket thickness</t>
  </si>
  <si>
    <t>Gasket thickness</t>
  </si>
  <si>
    <t>gauge</t>
  </si>
  <si>
    <t>Gauge</t>
  </si>
  <si>
    <t>go</t>
  </si>
  <si>
    <t>Go:</t>
  </si>
  <si>
    <t>guage</t>
  </si>
  <si>
    <t>H</t>
  </si>
  <si>
    <t>mouth the to H between bottle shoulder</t>
  </si>
  <si>
    <t>collar with cap H</t>
  </si>
  <si>
    <t>liner tube H with</t>
  </si>
  <si>
    <t>base H with</t>
  </si>
  <si>
    <t>with cap H</t>
  </si>
  <si>
    <t>Cap H with</t>
  </si>
  <si>
    <t>CAP with H</t>
  </si>
  <si>
    <t>H cover with</t>
  </si>
  <si>
    <t>inner With bottle H</t>
  </si>
  <si>
    <t>with inner H jar</t>
  </si>
  <si>
    <t>logo H with</t>
  </si>
  <si>
    <t>H with s/s</t>
  </si>
  <si>
    <t>shoulder with H</t>
  </si>
  <si>
    <t>with H stem&amp;brush</t>
  </si>
  <si>
    <t>carabiner H without</t>
  </si>
  <si>
    <t>neck H without</t>
  </si>
  <si>
    <t>H plaque without</t>
  </si>
  <si>
    <t>H without pot</t>
  </si>
  <si>
    <t>H without stem</t>
  </si>
  <si>
    <t>tube H without</t>
  </si>
  <si>
    <t>H:</t>
  </si>
  <si>
    <t>H(actuator-collar)</t>
  </si>
  <si>
    <t>H(without tube)</t>
  </si>
  <si>
    <t>CLIPS:L HAIR</t>
  </si>
  <si>
    <t>HAIR CLIPS:W</t>
  </si>
  <si>
    <t>OD handle</t>
  </si>
  <si>
    <t>Handle W</t>
  </si>
  <si>
    <t>handle width</t>
  </si>
  <si>
    <t>height Head</t>
  </si>
  <si>
    <t>Head OD</t>
  </si>
  <si>
    <t>height</t>
  </si>
  <si>
    <t>Height</t>
  </si>
  <si>
    <t>– (Actuator Closure) Height</t>
  </si>
  <si>
    <t>(Actuator Height – Collar)</t>
  </si>
  <si>
    <t>Height with (no logo)</t>
  </si>
  <si>
    <t>pump Height dody) (without</t>
  </si>
  <si>
    <t>of closure Height</t>
  </si>
  <si>
    <t>Height Jar Neck of</t>
  </si>
  <si>
    <t>shouder pump Height of</t>
  </si>
  <si>
    <t>pump(without Height diptube) of</t>
  </si>
  <si>
    <t>Hight</t>
  </si>
  <si>
    <t>ID Hole</t>
  </si>
  <si>
    <t>test) Hole (Gauge ID</t>
  </si>
  <si>
    <t>Hole ID sleeve of</t>
  </si>
  <si>
    <t>housing OD</t>
  </si>
  <si>
    <t>I</t>
  </si>
  <si>
    <t>ID</t>
  </si>
  <si>
    <t>ID of shell</t>
  </si>
  <si>
    <t>ID-Inner ribs</t>
  </si>
  <si>
    <t>Inner base Depth</t>
  </si>
  <si>
    <t>E base Inner</t>
  </si>
  <si>
    <t>OD base inner</t>
  </si>
  <si>
    <t>Inner T base</t>
  </si>
  <si>
    <t>inner depteh</t>
  </si>
  <si>
    <t>depth inner</t>
  </si>
  <si>
    <t>inner Depth</t>
  </si>
  <si>
    <t>depth Inner</t>
  </si>
  <si>
    <t>Inner H</t>
  </si>
  <si>
    <t>inner OD Jar</t>
  </si>
  <si>
    <t>L inner</t>
  </si>
  <si>
    <t>with snap rib L inner</t>
  </si>
  <si>
    <t>W inner</t>
  </si>
  <si>
    <t>Inner W</t>
  </si>
  <si>
    <t>inner width</t>
  </si>
  <si>
    <t>"ID" Insert/Shell</t>
  </si>
  <si>
    <t>internal L</t>
  </si>
  <si>
    <t>W internal</t>
  </si>
  <si>
    <t>it</t>
  </si>
  <si>
    <t>items</t>
  </si>
  <si>
    <t>Jar "E"</t>
  </si>
  <si>
    <t>Jar "H"</t>
  </si>
  <si>
    <t>"ID" Jar</t>
  </si>
  <si>
    <t>"OD" Jar</t>
  </si>
  <si>
    <t>Jar "T"</t>
  </si>
  <si>
    <t>E jar</t>
  </si>
  <si>
    <t>Jar E</t>
  </si>
  <si>
    <t>H Jar</t>
  </si>
  <si>
    <t>base (with Jar H inner)</t>
  </si>
  <si>
    <t>Jar ID</t>
  </si>
  <si>
    <t>Jar L</t>
  </si>
  <si>
    <t>neck Jar "H"</t>
  </si>
  <si>
    <t>Jar H Neck</t>
  </si>
  <si>
    <t>inner) Jar neck base (with H</t>
  </si>
  <si>
    <t>Jar OD</t>
  </si>
  <si>
    <t>T jar</t>
  </si>
  <si>
    <t>Jar T</t>
  </si>
  <si>
    <t>H total Jar</t>
  </si>
  <si>
    <t>Jar W</t>
  </si>
  <si>
    <t>Jar"E"</t>
  </si>
  <si>
    <t>Jar"T"</t>
  </si>
  <si>
    <t>L</t>
  </si>
  <si>
    <t>L (bottom)</t>
  </si>
  <si>
    <t>metal L loops without</t>
  </si>
  <si>
    <t>L:</t>
  </si>
  <si>
    <t>L(bottom）</t>
  </si>
  <si>
    <t>larger</t>
  </si>
  <si>
    <t>test leakage</t>
  </si>
  <si>
    <t>Length</t>
  </si>
  <si>
    <t>Length of with stem brush</t>
  </si>
  <si>
    <t>of diptube length</t>
  </si>
  <si>
    <t>Length diptube of</t>
  </si>
  <si>
    <t>Length of tube</t>
  </si>
  <si>
    <t>tube Length dip without</t>
  </si>
  <si>
    <t>Lid E</t>
  </si>
  <si>
    <t>Lid H</t>
  </si>
  <si>
    <t>OD lid</t>
  </si>
  <si>
    <t>lid T</t>
  </si>
  <si>
    <t>Linda</t>
  </si>
  <si>
    <t>Liner OD</t>
  </si>
  <si>
    <t>thickness liner</t>
  </si>
  <si>
    <t>Thickness Liner</t>
  </si>
  <si>
    <t>L liner with tube</t>
  </si>
  <si>
    <t>body OD Main</t>
  </si>
  <si>
    <t>Major:</t>
  </si>
  <si>
    <t>"clasp OD" Mechanism screw</t>
  </si>
  <si>
    <t>(with total "H" cap) inner Mechanism</t>
  </si>
  <si>
    <t>(min/max) of middle bottle area ?mm</t>
  </si>
  <si>
    <t>tube OD middle</t>
  </si>
  <si>
    <t>mirror depth</t>
  </si>
  <si>
    <t>cap bottle between and mismatch</t>
  </si>
  <si>
    <t>Mismatch between jar cap and</t>
  </si>
  <si>
    <t>mismatch/step</t>
  </si>
  <si>
    <t>Mismatch/step</t>
  </si>
  <si>
    <t>mm</t>
  </si>
  <si>
    <t>mm,</t>
  </si>
  <si>
    <t>H Mouth</t>
  </si>
  <si>
    <t>height mouth</t>
  </si>
  <si>
    <t>Neck</t>
  </si>
  <si>
    <t>Neck H</t>
  </si>
  <si>
    <t>NecK H</t>
  </si>
  <si>
    <t>H NECK</t>
  </si>
  <si>
    <t>neck H cup with</t>
  </si>
  <si>
    <t>neck with H wiper</t>
  </si>
  <si>
    <t>Neck height</t>
  </si>
  <si>
    <t>Height Neck</t>
  </si>
  <si>
    <t>OD Neck</t>
  </si>
  <si>
    <t>no</t>
  </si>
  <si>
    <t>defect no was visible found</t>
  </si>
  <si>
    <t>Nogo</t>
  </si>
  <si>
    <t>OD</t>
  </si>
  <si>
    <t>inner OD of cap</t>
  </si>
  <si>
    <t>lower flange of OD</t>
  </si>
  <si>
    <t>pipette of OD</t>
  </si>
  <si>
    <t>pump OD of</t>
  </si>
  <si>
    <t>inner ring cap of OD on</t>
  </si>
  <si>
    <t>OD-bottom</t>
  </si>
  <si>
    <t>OD-Middle</t>
  </si>
  <si>
    <t>OD-Upper</t>
  </si>
  <si>
    <t>cap with wiper and OD,assembled</t>
  </si>
  <si>
    <t>OD(bottom)</t>
  </si>
  <si>
    <t>OD(BOTTOM)</t>
  </si>
  <si>
    <t>OD（bottom)</t>
  </si>
  <si>
    <t>OD(down）</t>
  </si>
  <si>
    <t>OD(up)</t>
  </si>
  <si>
    <t>OD(UP)</t>
  </si>
  <si>
    <t>OD（up)</t>
  </si>
  <si>
    <t>ok</t>
  </si>
  <si>
    <t>OK.</t>
  </si>
  <si>
    <t>On-screw external diameter</t>
  </si>
  <si>
    <t>diameter intern On-screw</t>
  </si>
  <si>
    <t>ID Oriface</t>
  </si>
  <si>
    <t>orifice ID</t>
  </si>
  <si>
    <t>ID Orifice</t>
  </si>
  <si>
    <t>L box: ourt</t>
  </si>
  <si>
    <t>base total OD assembly Outer</t>
  </si>
  <si>
    <t>height Base outer</t>
  </si>
  <si>
    <t>T outer bottle</t>
  </si>
  <si>
    <t>cap outer with H collar</t>
  </si>
  <si>
    <t>H Overall</t>
  </si>
  <si>
    <t>size overall</t>
  </si>
  <si>
    <t>check overall size</t>
  </si>
  <si>
    <t>check size Overall</t>
  </si>
  <si>
    <t>and between bottle cap overhang/step</t>
  </si>
  <si>
    <t>torque override</t>
  </si>
  <si>
    <t>torque Override</t>
  </si>
  <si>
    <t>pan,</t>
  </si>
  <si>
    <t>card:L Paper</t>
  </si>
  <si>
    <t>Paper card:W</t>
  </si>
  <si>
    <t>Pipette OD</t>
  </si>
  <si>
    <t>retention force pipette/cap</t>
  </si>
  <si>
    <t>force pipette/plug retention</t>
  </si>
  <si>
    <t>pan Plastic depth</t>
  </si>
  <si>
    <t>pan Plastic H</t>
  </si>
  <si>
    <t>Plastic ID pan</t>
  </si>
  <si>
    <t>OD pan Plastic</t>
  </si>
  <si>
    <t>height Plate</t>
  </si>
  <si>
    <t>Platform Depth</t>
  </si>
  <si>
    <t>H Platform</t>
  </si>
  <si>
    <t>ID Platform</t>
  </si>
  <si>
    <t>inner width Platform max</t>
  </si>
  <si>
    <t>Platform L</t>
  </si>
  <si>
    <t>Platform OD</t>
  </si>
  <si>
    <t>W Platform</t>
  </si>
  <si>
    <t>Platform well Depth</t>
  </si>
  <si>
    <t>Platform Depth Well</t>
  </si>
  <si>
    <t>well Platform ID</t>
  </si>
  <si>
    <t>ID Platform Well</t>
  </si>
  <si>
    <t>Plug H</t>
  </si>
  <si>
    <t>OD Plug</t>
  </si>
  <si>
    <t>Orifice Plug ID</t>
  </si>
  <si>
    <t>Plug Rib OD</t>
  </si>
  <si>
    <t>(with H step) Plug total</t>
  </si>
  <si>
    <t>"E" Pot</t>
  </si>
  <si>
    <t>Pot "T"</t>
  </si>
  <si>
    <t>Pot E</t>
  </si>
  <si>
    <t>H Pot</t>
  </si>
  <si>
    <t>OD Pot</t>
  </si>
  <si>
    <t>T Pot</t>
  </si>
  <si>
    <t>pps</t>
  </si>
  <si>
    <t>pps:</t>
  </si>
  <si>
    <t>pps: (mm)</t>
  </si>
  <si>
    <t>Cup Protrusion,</t>
  </si>
  <si>
    <t>Pump "E"</t>
  </si>
  <si>
    <t>"T" Pump</t>
  </si>
  <si>
    <t>E Pump</t>
  </si>
  <si>
    <t>H pump</t>
  </si>
  <si>
    <t>ID Pump</t>
  </si>
  <si>
    <t>pump OD</t>
  </si>
  <si>
    <t>Pump OD</t>
  </si>
  <si>
    <t>pump stoke length</t>
  </si>
  <si>
    <t>Pump T</t>
  </si>
  <si>
    <t>tube H Pump, total</t>
  </si>
  <si>
    <t>QA sample</t>
  </si>
  <si>
    <t>range</t>
  </si>
  <si>
    <t>Receiver E</t>
  </si>
  <si>
    <t>ID Receiver</t>
  </si>
  <si>
    <t>Receiver T</t>
  </si>
  <si>
    <t>Reducer H</t>
  </si>
  <si>
    <t>OD Reducer</t>
  </si>
  <si>
    <t>remain L Tube</t>
  </si>
  <si>
    <t>Remain L Tube</t>
  </si>
  <si>
    <t>Remoavl torque</t>
  </si>
  <si>
    <t>force removal torque</t>
  </si>
  <si>
    <t>rib ID</t>
  </si>
  <si>
    <t>Rib ID</t>
  </si>
  <si>
    <t>rib OD</t>
  </si>
  <si>
    <t>Rib OD</t>
  </si>
  <si>
    <t>OD-d Rib</t>
  </si>
  <si>
    <t>Rib OD-s</t>
  </si>
  <si>
    <t>width Rib</t>
  </si>
  <si>
    <t>ribbon width</t>
  </si>
  <si>
    <t>distance ribs</t>
  </si>
  <si>
    <t>Ring OD</t>
  </si>
  <si>
    <t>OD ring rib</t>
  </si>
  <si>
    <t>OD Rod</t>
  </si>
  <si>
    <t>S/S test adhesion</t>
  </si>
  <si>
    <t>S/S test Tape</t>
  </si>
  <si>
    <t>adhesion spraying S/S&amp; test</t>
  </si>
  <si>
    <t>S/S&amp;H/Sadhesion test</t>
  </si>
  <si>
    <t>same</t>
  </si>
  <si>
    <t>sample</t>
  </si>
  <si>
    <t>screw OD</t>
  </si>
  <si>
    <t>OD Screw</t>
  </si>
  <si>
    <t>Seal frame ID</t>
  </si>
  <si>
    <t>sealing water diameter</t>
  </si>
  <si>
    <t>plug force bottle to separation bottom</t>
  </si>
  <si>
    <t>collar H Service cap to</t>
  </si>
  <si>
    <t>Sets</t>
  </si>
  <si>
    <t>Shell "clasp OD"</t>
  </si>
  <si>
    <t>"ID" Shell</t>
  </si>
  <si>
    <t>clasp OD Shell</t>
  </si>
  <si>
    <t>ID Shell</t>
  </si>
  <si>
    <t>Shell OD</t>
  </si>
  <si>
    <t>SHELL OD</t>
  </si>
  <si>
    <t>shouder H</t>
  </si>
  <si>
    <t>buckle OD point shoulder</t>
  </si>
  <si>
    <t>shoulder H</t>
  </si>
  <si>
    <t>shoulder H to mouth</t>
  </si>
  <si>
    <t>to H mouth Shoulder</t>
  </si>
  <si>
    <t>Sifter "H"</t>
  </si>
  <si>
    <t>Sifter position assemble OD</t>
  </si>
  <si>
    <t>clasp OD Sifter</t>
  </si>
  <si>
    <t>E Sifter</t>
  </si>
  <si>
    <t>H Sifter</t>
  </si>
  <si>
    <t>Sifter OD</t>
  </si>
  <si>
    <t>Sifter rib OD</t>
  </si>
  <si>
    <t>tube slant ID</t>
  </si>
  <si>
    <t>slant OD tube</t>
  </si>
  <si>
    <t>Small Well width</t>
  </si>
  <si>
    <t>Snap axis) (X ID</t>
  </si>
  <si>
    <t>Snap ID (X-axis）</t>
  </si>
  <si>
    <t>axis) (Y Snap ID</t>
  </si>
  <si>
    <t>(Y-axis） ID Snap</t>
  </si>
  <si>
    <t>Snap axis X ID,</t>
  </si>
  <si>
    <t>axis ID, Y Snap</t>
  </si>
  <si>
    <t>snap L</t>
  </si>
  <si>
    <t>L Snap</t>
  </si>
  <si>
    <t>snap OD</t>
  </si>
  <si>
    <t>width base Snaps of</t>
  </si>
  <si>
    <t>spatula L</t>
  </si>
  <si>
    <t>W spatula</t>
  </si>
  <si>
    <t>W Spatula</t>
  </si>
  <si>
    <t>Width Spatula</t>
  </si>
  <si>
    <t>OD Spiral</t>
  </si>
  <si>
    <t>H Sponge</t>
  </si>
  <si>
    <t>Sponge OD</t>
  </si>
  <si>
    <t>thickness Sponge</t>
  </si>
  <si>
    <t>SPRAYING&amp; S/S test adhesion</t>
  </si>
  <si>
    <t>stem OD</t>
  </si>
  <si>
    <t>OD Stem</t>
  </si>
  <si>
    <t>OD Stem (upper)</t>
  </si>
  <si>
    <t>down OD Stem</t>
  </si>
  <si>
    <t>Stem top OD</t>
  </si>
  <si>
    <t>Stem OD(middle)</t>
  </si>
  <si>
    <t>cap between base step and</t>
  </si>
  <si>
    <t>liner between cap and shell Step stem</t>
  </si>
  <si>
    <t>cap with Step base between</t>
  </si>
  <si>
    <t>between cover and step base</t>
  </si>
  <si>
    <t>cover base Step to</t>
  </si>
  <si>
    <t>step depth</t>
  </si>
  <si>
    <t>OD Step</t>
  </si>
  <si>
    <t>stone OD</t>
  </si>
  <si>
    <t>stone/wiper retention force</t>
  </si>
  <si>
    <t>T</t>
  </si>
  <si>
    <t>tempary</t>
  </si>
  <si>
    <t>temporary</t>
  </si>
  <si>
    <t>test:</t>
  </si>
  <si>
    <t>than</t>
  </si>
  <si>
    <t>"Depth" down positon cup swivel The</t>
  </si>
  <si>
    <t>pull outer inner the bottle bottle with forcebetween</t>
  </si>
  <si>
    <t>thickness</t>
  </si>
  <si>
    <t>Thickness</t>
  </si>
  <si>
    <t>PE liner thickness of</t>
  </si>
  <si>
    <t>of thickness shim</t>
  </si>
  <si>
    <t>of the gasket thickness</t>
  </si>
  <si>
    <t>Thickness of tube</t>
  </si>
  <si>
    <t>of Thickness Tube</t>
  </si>
  <si>
    <t>of Thickness wiper wing</t>
  </si>
  <si>
    <t>thickness, middle bottle area of</t>
  </si>
  <si>
    <t>Thread depth</t>
  </si>
  <si>
    <t>Depth Thread</t>
  </si>
  <si>
    <t>Tip base ID</t>
  </si>
  <si>
    <t>Tip OD base</t>
  </si>
  <si>
    <t>H Tip</t>
  </si>
  <si>
    <t>L Tip</t>
  </si>
  <si>
    <t>OD Tip</t>
  </si>
  <si>
    <t>TIP T</t>
  </si>
  <si>
    <t>Tip W</t>
  </si>
  <si>
    <t>tip width</t>
  </si>
  <si>
    <t>to</t>
  </si>
  <si>
    <t>Toatal H</t>
  </si>
  <si>
    <t>thickness "wing" top</t>
  </si>
  <si>
    <t>circle Top thickness</t>
  </si>
  <si>
    <t>top thickness</t>
  </si>
  <si>
    <t>Top wing thickness</t>
  </si>
  <si>
    <t>bottle Total cap assembled with H and</t>
  </si>
  <si>
    <t>dropper Total with assembly H</t>
  </si>
  <si>
    <t>total H Cap</t>
  </si>
  <si>
    <t>H total</t>
  </si>
  <si>
    <t>H Total</t>
  </si>
  <si>
    <t>with H Cap Total</t>
  </si>
  <si>
    <t>Total H with CAP</t>
  </si>
  <si>
    <t>Total (cap with tube) H</t>
  </si>
  <si>
    <t>total (Tube with cap) H</t>
  </si>
  <si>
    <t>cap Total H assembled with</t>
  </si>
  <si>
    <t>Cap H assembled with Total</t>
  </si>
  <si>
    <t>Total assembly with cap H</t>
  </si>
  <si>
    <t>with H base Total</t>
  </si>
  <si>
    <t>Total H with Base</t>
  </si>
  <si>
    <t>H Total body with</t>
  </si>
  <si>
    <t>with bottle H total</t>
  </si>
  <si>
    <t>Total H bottle with</t>
  </si>
  <si>
    <t>with Total H Bottle</t>
  </si>
  <si>
    <t>H with total cap</t>
  </si>
  <si>
    <t>total H Cap with</t>
  </si>
  <si>
    <t>cap with H Total</t>
  </si>
  <si>
    <t>H Total Cap with</t>
  </si>
  <si>
    <t>with CAP Total H</t>
  </si>
  <si>
    <t>H Cap total and disc with</t>
  </si>
  <si>
    <t>H Total with cap&amp;pump</t>
  </si>
  <si>
    <t>H with dropper Total</t>
  </si>
  <si>
    <t>total Jar H with</t>
  </si>
  <si>
    <t>jar Total with H</t>
  </si>
  <si>
    <t>Total H Jar with</t>
  </si>
  <si>
    <t>total disc and with jar H</t>
  </si>
  <si>
    <t>Total H with refill cap</t>
  </si>
  <si>
    <t>without H total tube</t>
  </si>
  <si>
    <t>H, Total cap/Disc/Jar assembled</t>
  </si>
  <si>
    <t>Total H, assembled cap/wiper/bottle</t>
  </si>
  <si>
    <t>assembled bottle H, with total</t>
  </si>
  <si>
    <t>assembled H, cap with Total</t>
  </si>
  <si>
    <t>cap with assembled total sifter and H,</t>
  </si>
  <si>
    <t>and with wiper cap Total H,assembled</t>
  </si>
  <si>
    <t>Total with and wiper cap H,ssembled</t>
  </si>
  <si>
    <t>head total Height</t>
  </si>
  <si>
    <t>Total cap of and Height tube</t>
  </si>
  <si>
    <t>Total L</t>
  </si>
  <si>
    <t>with Total L Cap</t>
  </si>
  <si>
    <t>Total L,assembled wiper with and cap</t>
  </si>
  <si>
    <t>Total L（without brush)</t>
  </si>
  <si>
    <t>total length</t>
  </si>
  <si>
    <t>OD total</t>
  </si>
  <si>
    <t>OD Total</t>
  </si>
  <si>
    <t>Total W</t>
  </si>
  <si>
    <t>Total wiper cap W,assembled with and</t>
  </si>
  <si>
    <t>E Tottle</t>
  </si>
  <si>
    <t>Tottle H</t>
  </si>
  <si>
    <t>Tottle ID</t>
  </si>
  <si>
    <t>Tottle L</t>
  </si>
  <si>
    <t>Tottle H neck</t>
  </si>
  <si>
    <t>Tottle T</t>
  </si>
  <si>
    <t>W Tottle</t>
  </si>
  <si>
    <t>tube body thickness</t>
  </si>
  <si>
    <t>Tube "E" collar</t>
  </si>
  <si>
    <t>"T" collar Tube</t>
  </si>
  <si>
    <t>E Tube</t>
  </si>
  <si>
    <t>Tube H</t>
  </si>
  <si>
    <t>cap with H Tube</t>
  </si>
  <si>
    <t>H total Tube cap with H</t>
  </si>
  <si>
    <t>tube height</t>
  </si>
  <si>
    <t>tube ID</t>
  </si>
  <si>
    <t>ID Tube</t>
  </si>
  <si>
    <t>ID TUBE</t>
  </si>
  <si>
    <t>L Tube</t>
  </si>
  <si>
    <t>L TUBE</t>
  </si>
  <si>
    <t>L gasket below tube</t>
  </si>
  <si>
    <t>gasket to tube length</t>
  </si>
  <si>
    <t>Tube ID neck</t>
  </si>
  <si>
    <t>tube OD</t>
  </si>
  <si>
    <t>OD Tube</t>
  </si>
  <si>
    <t>OD TUBE</t>
  </si>
  <si>
    <t>OD (ref) Tube</t>
  </si>
  <si>
    <t>tube diameter orifice</t>
  </si>
  <si>
    <t>ID Tube orifice</t>
  </si>
  <si>
    <t>Tube ID(Gauge) plug</t>
  </si>
  <si>
    <t>Tube T</t>
  </si>
  <si>
    <t>thickness tube</t>
  </si>
  <si>
    <t>thickness Tube</t>
  </si>
  <si>
    <t>Thickness Tube</t>
  </si>
  <si>
    <t>thickness Tube (ref)</t>
  </si>
  <si>
    <t>H Total Tube</t>
  </si>
  <si>
    <t>W Tube</t>
  </si>
  <si>
    <t>thickness wall Tube</t>
  </si>
  <si>
    <t>Tube's OD</t>
  </si>
  <si>
    <t>H Total tube+cap</t>
  </si>
  <si>
    <t>OD Tuebe</t>
  </si>
  <si>
    <t>ID upper</t>
  </si>
  <si>
    <t>Upper OD</t>
  </si>
  <si>
    <t>Orifice Upper ID</t>
  </si>
  <si>
    <t>use</t>
  </si>
  <si>
    <t>Use</t>
  </si>
  <si>
    <t>Vaccum test</t>
  </si>
  <si>
    <t>W</t>
  </si>
  <si>
    <t>W (bottom)</t>
  </si>
  <si>
    <t>W:</t>
  </si>
  <si>
    <t>W(bottom）</t>
  </si>
  <si>
    <t>W(BOTTOM)</t>
  </si>
  <si>
    <t>Wall thickness</t>
  </si>
  <si>
    <t>Wall Thickness</t>
  </si>
  <si>
    <t>middle wall bottle area of thickness,</t>
  </si>
  <si>
    <t>Weight</t>
  </si>
  <si>
    <t>(Depth) Well</t>
  </si>
  <si>
    <t>Well (L)</t>
  </si>
  <si>
    <t>(W) Well</t>
  </si>
  <si>
    <t>Well depth</t>
  </si>
  <si>
    <t>Well Depth</t>
  </si>
  <si>
    <t>Depth(section Well B-B)</t>
  </si>
  <si>
    <t>C-C) Depth(section Well</t>
  </si>
  <si>
    <t>Well ID</t>
  </si>
  <si>
    <t>ID Well (upper)</t>
  </si>
  <si>
    <t>(UPPER) ID Well</t>
  </si>
  <si>
    <t>Well (X-axis) ID</t>
  </si>
  <si>
    <t>(Y-axis) ID Well</t>
  </si>
  <si>
    <t>ID(Circle) Well</t>
  </si>
  <si>
    <t>ID(UP) Well</t>
  </si>
  <si>
    <t>L Well</t>
  </si>
  <si>
    <t>(section Well L B-B)</t>
  </si>
  <si>
    <t>C-C) (section L Well</t>
  </si>
  <si>
    <t>L(down) Well</t>
  </si>
  <si>
    <t>Well ID left</t>
  </si>
  <si>
    <t>Well ID right</t>
  </si>
  <si>
    <t>snap Well W</t>
  </si>
  <si>
    <t>Well W</t>
  </si>
  <si>
    <t>W Well B-B) (section</t>
  </si>
  <si>
    <t>W C-C) (section Well</t>
  </si>
  <si>
    <t>Well W(down)</t>
  </si>
  <si>
    <t>width</t>
  </si>
  <si>
    <t>Width</t>
  </si>
  <si>
    <t>applicator width of</t>
  </si>
  <si>
    <t>Width of Elastic band</t>
  </si>
  <si>
    <t>of width handle</t>
  </si>
  <si>
    <t>of width buckle point shoulder</t>
  </si>
  <si>
    <t>wiper</t>
  </si>
  <si>
    <t>"ID" Wiper</t>
  </si>
  <si>
    <t>ID bottom wiper</t>
  </si>
  <si>
    <t>"OD" clasp Wiper</t>
  </si>
  <si>
    <t>Wiper clasp OD</t>
  </si>
  <si>
    <t>clasp Wiper OD data) (Avg</t>
  </si>
  <si>
    <t>(OC)projector data) OD Wiper (Avg clasp</t>
  </si>
  <si>
    <t>wiper H</t>
  </si>
  <si>
    <t>H Wiper</t>
  </si>
  <si>
    <t>ID Wiper</t>
  </si>
  <si>
    <t>ID (down) Wiper</t>
  </si>
  <si>
    <t>OD wiper</t>
  </si>
  <si>
    <t>OD Wiper</t>
  </si>
  <si>
    <t>Wiper ID orifice</t>
  </si>
  <si>
    <t>Orifice ID Wiper</t>
  </si>
  <si>
    <t>ID orifice Wiper (OC)projector</t>
  </si>
  <si>
    <t>OD rib wiper</t>
  </si>
  <si>
    <t>OD Rib wiper</t>
  </si>
  <si>
    <t>OD Wiper rib</t>
  </si>
  <si>
    <t>Wiper Rib OD</t>
  </si>
  <si>
    <t>wiper T</t>
  </si>
  <si>
    <t>terrace Wiper H</t>
  </si>
  <si>
    <t>Wiper OD wing</t>
  </si>
  <si>
    <t>with</t>
  </si>
  <si>
    <t>Zhu</t>
  </si>
  <si>
    <t>XXX office:</t>
  </si>
  <si>
    <t>XXX PO#:</t>
  </si>
  <si>
    <t>XXX PO No.</t>
  </si>
  <si>
    <t>Authorized QC Inspector of 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</si>
</sst>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22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1"/>
      <charset val="2"/>
      <scheme val="minor"/>
    </font>
    <font>
      <b/>
      <i/>
      <sz val="8"/>
      <color theme="0" tint="-0.499984740745262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8"/>
      <color theme="0" tint="-0.34998626667073579"/>
      <name val="Calibri"/>
      <family val="2"/>
      <scheme val="minor"/>
    </font>
    <font>
      <i/>
      <sz val="8"/>
      <color theme="0" tint="-0.34998626667073579"/>
      <name val="Aharoni"/>
      <charset val="177"/>
    </font>
    <font>
      <i/>
      <sz val="8"/>
      <color theme="0" tint="-0.499984740745262"/>
      <name val="Calibri"/>
      <family val="2"/>
      <scheme val="minor"/>
    </font>
    <font>
      <i/>
      <sz val="8"/>
      <name val="Calibri"/>
      <family val="2"/>
      <scheme val="minor"/>
    </font>
    <font>
      <sz val="8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8"/>
      <color theme="1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sz val="8"/>
      <color theme="1" tint="0.499984740745262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8"/>
      <color theme="1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lightHorizontal">
        <fgColor theme="0" tint="-0.34998626667073579"/>
        <bgColor theme="0" tint="-0.499984740745262"/>
      </patternFill>
    </fill>
    <fill>
      <patternFill patternType="lightVertical">
        <fgColor theme="0" tint="-0.34998626667073579"/>
        <bgColor theme="0" tint="-0.499984740745262"/>
      </patternFill>
    </fill>
    <fill>
      <patternFill patternType="lightUp">
        <fgColor theme="0" tint="-0.24994659260841701"/>
        <bgColor theme="0" tint="-0.499984740745262"/>
      </patternFill>
    </fill>
    <fill>
      <patternFill patternType="lightGrid">
        <fgColor theme="0" tint="-0.34998626667073579"/>
        <bgColor theme="0" tint="-0.49998474074526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499984740745262"/>
        <bgColor theme="0" tint="-0.24994659260841701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theme="0" tint="-0.499984740745262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theme="0" tint="-0.499984740745262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theme="0" tint="-0.34998626667073579"/>
      </bottom>
      <diagonal/>
    </border>
    <border>
      <left/>
      <right style="hair">
        <color indexed="64"/>
      </right>
      <top style="thin">
        <color indexed="64"/>
      </top>
      <bottom style="dotted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theme="0" tint="-0.499984740745262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</borders>
  <cellStyleXfs count="5">
    <xf numFmtId="0" fontId="0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</cellStyleXfs>
  <cellXfs count="234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6" xfId="0" applyFont="1" applyBorder="1">
      <alignment vertical="center"/>
    </xf>
    <xf numFmtId="49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>
      <alignment vertical="center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0" fontId="2" fillId="0" borderId="11" xfId="0" applyFont="1" applyBorder="1" applyAlignment="1">
      <alignment horizontal="center" vertical="center"/>
    </xf>
    <xf numFmtId="49" fontId="2" fillId="2" borderId="1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164" fontId="2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16" xfId="0" applyFont="1" applyBorder="1">
      <alignment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8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2" fillId="0" borderId="13" xfId="0" applyFont="1" applyBorder="1">
      <alignment vertical="center"/>
    </xf>
    <xf numFmtId="165" fontId="2" fillId="0" borderId="0" xfId="0" applyNumberFormat="1" applyFont="1">
      <alignment vertical="center"/>
    </xf>
    <xf numFmtId="3" fontId="2" fillId="0" borderId="0" xfId="0" applyNumberFormat="1" applyFont="1">
      <alignment vertical="center"/>
    </xf>
    <xf numFmtId="0" fontId="2" fillId="0" borderId="11" xfId="0" applyFont="1" applyBorder="1" applyAlignment="1">
      <alignment horizontal="left" vertical="center"/>
    </xf>
    <xf numFmtId="164" fontId="2" fillId="0" borderId="1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0" fontId="9" fillId="3" borderId="0" xfId="0" applyFont="1" applyFill="1">
      <alignment vertical="center"/>
    </xf>
    <xf numFmtId="0" fontId="9" fillId="3" borderId="0" xfId="0" applyFont="1" applyFill="1" applyAlignment="1">
      <alignment horizontal="left" vertical="center"/>
    </xf>
    <xf numFmtId="0" fontId="10" fillId="3" borderId="0" xfId="0" applyFont="1" applyFill="1">
      <alignment vertical="center"/>
    </xf>
    <xf numFmtId="0" fontId="10" fillId="3" borderId="0" xfId="0" applyFont="1" applyFill="1" applyAlignment="1">
      <alignment horizontal="left" vertical="center"/>
    </xf>
    <xf numFmtId="49" fontId="2" fillId="0" borderId="4" xfId="0" applyNumberFormat="1" applyFont="1" applyBorder="1" applyAlignment="1">
      <alignment vertical="center" shrinkToFit="1"/>
    </xf>
    <xf numFmtId="1" fontId="2" fillId="2" borderId="28" xfId="0" applyNumberFormat="1" applyFont="1" applyFill="1" applyBorder="1" applyAlignment="1" applyProtection="1">
      <alignment horizontal="left" vertical="center" shrinkToFit="1"/>
      <protection locked="0"/>
    </xf>
    <xf numFmtId="0" fontId="4" fillId="0" borderId="13" xfId="0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49" fontId="11" fillId="5" borderId="0" xfId="0" applyNumberFormat="1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0" fillId="3" borderId="0" xfId="0" applyFont="1" applyFill="1" applyAlignment="1"/>
    <xf numFmtId="0" fontId="2" fillId="0" borderId="13" xfId="0" applyFont="1" applyBorder="1" applyAlignment="1">
      <alignment horizontal="left" vertical="center"/>
    </xf>
    <xf numFmtId="49" fontId="2" fillId="0" borderId="13" xfId="0" applyNumberFormat="1" applyFont="1" applyBorder="1">
      <alignment vertical="center"/>
    </xf>
    <xf numFmtId="0" fontId="2" fillId="3" borderId="0" xfId="0" applyFont="1" applyFill="1" applyAlignment="1">
      <alignment horizontal="center" vertical="center"/>
    </xf>
    <xf numFmtId="0" fontId="7" fillId="3" borderId="0" xfId="0" applyFont="1" applyFill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2" fillId="0" borderId="5" xfId="0" applyFont="1" applyBorder="1">
      <alignment vertical="center"/>
    </xf>
    <xf numFmtId="0" fontId="2" fillId="0" borderId="7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17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2" fillId="0" borderId="17" xfId="0" applyFont="1" applyBorder="1">
      <alignment vertical="center"/>
    </xf>
    <xf numFmtId="0" fontId="11" fillId="7" borderId="0" xfId="0" applyFont="1" applyFill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2" fillId="0" borderId="46" xfId="0" applyFont="1" applyBorder="1" applyAlignment="1">
      <alignment horizontal="center" vertical="center"/>
    </xf>
    <xf numFmtId="0" fontId="4" fillId="8" borderId="0" xfId="0" applyFont="1" applyFill="1">
      <alignment vertical="center"/>
    </xf>
    <xf numFmtId="0" fontId="2" fillId="8" borderId="0" xfId="0" applyFont="1" applyFill="1">
      <alignment vertical="center"/>
    </xf>
    <xf numFmtId="0" fontId="2" fillId="8" borderId="0" xfId="0" applyFont="1" applyFill="1" applyAlignment="1">
      <alignment horizontal="center" vertical="center"/>
    </xf>
    <xf numFmtId="164" fontId="2" fillId="8" borderId="0" xfId="0" applyNumberFormat="1" applyFont="1" applyFill="1" applyAlignment="1">
      <alignment horizontal="center" vertical="center"/>
    </xf>
    <xf numFmtId="0" fontId="6" fillId="8" borderId="0" xfId="0" applyFont="1" applyFill="1">
      <alignment vertical="center"/>
    </xf>
    <xf numFmtId="0" fontId="4" fillId="8" borderId="0" xfId="0" applyFont="1" applyFill="1" applyAlignment="1">
      <alignment horizontal="center" vertical="center"/>
    </xf>
    <xf numFmtId="49" fontId="4" fillId="8" borderId="0" xfId="0" applyNumberFormat="1" applyFont="1" applyFill="1" applyAlignment="1">
      <alignment horizontal="center" vertical="center"/>
    </xf>
    <xf numFmtId="0" fontId="12" fillId="0" borderId="13" xfId="0" applyFont="1" applyBorder="1" applyAlignment="1">
      <alignment horizontal="right" vertical="center" shrinkToFit="1"/>
    </xf>
    <xf numFmtId="0" fontId="2" fillId="5" borderId="0" xfId="0" applyFont="1" applyFill="1">
      <alignment vertical="center"/>
    </xf>
    <xf numFmtId="0" fontId="2" fillId="8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2" fillId="0" borderId="37" xfId="0" applyFont="1" applyBorder="1" applyAlignment="1">
      <alignment horizontal="center" vertical="center"/>
    </xf>
    <xf numFmtId="0" fontId="11" fillId="5" borderId="0" xfId="0" quotePrefix="1" applyFont="1" applyFill="1" applyAlignment="1">
      <alignment horizontal="left" vertical="center" shrinkToFit="1"/>
    </xf>
    <xf numFmtId="0" fontId="11" fillId="3" borderId="0" xfId="0" applyFont="1" applyFill="1" applyAlignment="1">
      <alignment horizontal="left" vertical="center" shrinkToFit="1"/>
    </xf>
    <xf numFmtId="0" fontId="11" fillId="9" borderId="0" xfId="0" applyFont="1" applyFill="1" applyAlignment="1">
      <alignment horizontal="left" vertical="center"/>
    </xf>
    <xf numFmtId="9" fontId="2" fillId="8" borderId="0" xfId="0" applyNumberFormat="1" applyFont="1" applyFill="1" applyAlignment="1">
      <alignment horizontal="center" vertical="center"/>
    </xf>
    <xf numFmtId="0" fontId="2" fillId="0" borderId="48" xfId="0" applyFont="1" applyBorder="1">
      <alignment vertical="center"/>
    </xf>
    <xf numFmtId="0" fontId="2" fillId="0" borderId="48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13" fillId="2" borderId="49" xfId="0" applyFont="1" applyFill="1" applyBorder="1" applyAlignment="1" applyProtection="1">
      <alignment horizontal="center" vertical="center" shrinkToFit="1"/>
      <protection locked="0"/>
    </xf>
    <xf numFmtId="0" fontId="13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right" vertical="center"/>
    </xf>
    <xf numFmtId="0" fontId="13" fillId="0" borderId="20" xfId="0" applyFont="1" applyBorder="1" applyAlignment="1">
      <alignment horizontal="left" vertical="center" shrinkToFit="1"/>
    </xf>
    <xf numFmtId="0" fontId="1" fillId="10" borderId="0" xfId="0" applyFont="1" applyFill="1" applyAlignment="1">
      <alignment horizontal="left"/>
    </xf>
    <xf numFmtId="0" fontId="3" fillId="10" borderId="0" xfId="0" applyFont="1" applyFill="1">
      <alignment vertical="center"/>
    </xf>
    <xf numFmtId="0" fontId="2" fillId="10" borderId="0" xfId="0" applyFont="1" applyFill="1">
      <alignment vertical="center"/>
    </xf>
    <xf numFmtId="0" fontId="2" fillId="0" borderId="0" xfId="0" applyFont="1" applyAlignment="1">
      <alignment vertical="center" shrinkToFit="1"/>
    </xf>
    <xf numFmtId="0" fontId="17" fillId="0" borderId="0" xfId="0" applyFont="1">
      <alignment vertical="center"/>
    </xf>
    <xf numFmtId="0" fontId="19" fillId="3" borderId="0" xfId="0" applyFont="1" applyFill="1">
      <alignment vertical="center"/>
    </xf>
    <xf numFmtId="0" fontId="20" fillId="11" borderId="0" xfId="2" applyFont="1" applyFill="1"/>
    <xf numFmtId="0" fontId="20" fillId="11" borderId="0" xfId="4" applyFont="1" applyFill="1"/>
    <xf numFmtId="0" fontId="0" fillId="0" borderId="0" xfId="0" applyAlignment="1"/>
    <xf numFmtId="0" fontId="2" fillId="2" borderId="15" xfId="0" applyFont="1" applyFill="1" applyBorder="1" applyAlignment="1" applyProtection="1">
      <alignment horizontal="center" vertical="center" shrinkToFit="1"/>
      <protection locked="0"/>
    </xf>
    <xf numFmtId="0" fontId="0" fillId="0" borderId="40" xfId="0" applyBorder="1" applyAlignment="1" applyProtection="1">
      <protection locked="0"/>
    </xf>
    <xf numFmtId="0" fontId="2" fillId="0" borderId="13" xfId="0" applyFont="1" applyBorder="1" applyAlignment="1">
      <alignment horizontal="left" vertical="center"/>
    </xf>
    <xf numFmtId="0" fontId="0" fillId="0" borderId="13" xfId="0" applyBorder="1" applyAlignment="1"/>
    <xf numFmtId="49" fontId="2" fillId="0" borderId="13" xfId="0" applyNumberFormat="1" applyFont="1" applyBorder="1">
      <alignment vertical="center"/>
    </xf>
    <xf numFmtId="49" fontId="8" fillId="2" borderId="58" xfId="0" applyNumberFormat="1" applyFont="1" applyFill="1" applyBorder="1" applyAlignment="1" applyProtection="1">
      <alignment horizontal="center" vertical="center" shrinkToFit="1"/>
      <protection locked="0"/>
    </xf>
    <xf numFmtId="0" fontId="0" fillId="0" borderId="1" xfId="0" applyBorder="1" applyAlignment="1" applyProtection="1">
      <protection locked="0"/>
    </xf>
    <xf numFmtId="0" fontId="0" fillId="0" borderId="39" xfId="0" applyBorder="1" applyAlignment="1" applyProtection="1">
      <protection locked="0"/>
    </xf>
    <xf numFmtId="49" fontId="2" fillId="2" borderId="59" xfId="0" applyNumberFormat="1" applyFont="1" applyFill="1" applyBorder="1" applyAlignment="1" applyProtection="1">
      <alignment horizontal="center" vertical="center" shrinkToFit="1"/>
      <protection locked="0"/>
    </xf>
    <xf numFmtId="0" fontId="0" fillId="0" borderId="52" xfId="0" applyBorder="1" applyAlignment="1" applyProtection="1">
      <protection locked="0"/>
    </xf>
    <xf numFmtId="0" fontId="0" fillId="0" borderId="53" xfId="0" applyBorder="1" applyAlignment="1" applyProtection="1"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0" fillId="0" borderId="28" xfId="0" applyBorder="1" applyAlignment="1" applyProtection="1">
      <protection locked="0"/>
    </xf>
    <xf numFmtId="0" fontId="2" fillId="2" borderId="57" xfId="0" applyFont="1" applyFill="1" applyBorder="1" applyAlignment="1" applyProtection="1">
      <alignment horizontal="center" vertical="center" shrinkToFit="1"/>
      <protection locked="0"/>
    </xf>
    <xf numFmtId="0" fontId="0" fillId="0" borderId="41" xfId="0" applyBorder="1" applyAlignment="1" applyProtection="1">
      <protection locked="0"/>
    </xf>
    <xf numFmtId="1" fontId="2" fillId="2" borderId="15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58" xfId="0" applyNumberFormat="1" applyFont="1" applyFill="1" applyBorder="1" applyAlignment="1" applyProtection="1">
      <alignment horizontal="center" vertical="center" shrinkToFit="1"/>
      <protection locked="0"/>
    </xf>
    <xf numFmtId="0" fontId="2" fillId="0" borderId="33" xfId="0" applyFont="1" applyBorder="1" applyAlignment="1">
      <alignment horizontal="center" vertical="center"/>
    </xf>
    <xf numFmtId="0" fontId="0" fillId="0" borderId="31" xfId="0" applyBorder="1" applyAlignment="1"/>
    <xf numFmtId="0" fontId="2" fillId="0" borderId="0" xfId="0" applyFont="1" applyAlignment="1">
      <alignment horizontal="left" vertical="center"/>
    </xf>
    <xf numFmtId="0" fontId="2" fillId="3" borderId="0" xfId="0" applyFont="1" applyFill="1">
      <alignment vertical="center"/>
    </xf>
    <xf numFmtId="0" fontId="2" fillId="0" borderId="10" xfId="0" applyFont="1" applyBorder="1">
      <alignment vertical="center"/>
    </xf>
    <xf numFmtId="0" fontId="0" fillId="0" borderId="10" xfId="0" applyBorder="1" applyAlignment="1"/>
    <xf numFmtId="1" fontId="2" fillId="0" borderId="2" xfId="0" applyNumberFormat="1" applyFont="1" applyBorder="1" applyAlignment="1">
      <alignment horizontal="center" vertical="center" shrinkToFit="1"/>
    </xf>
    <xf numFmtId="0" fontId="0" fillId="0" borderId="30" xfId="0" applyBorder="1" applyAlignment="1"/>
    <xf numFmtId="14" fontId="2" fillId="0" borderId="0" xfId="0" applyNumberFormat="1" applyFont="1" applyAlignment="1">
      <alignment horizontal="center" vertical="center"/>
    </xf>
    <xf numFmtId="3" fontId="2" fillId="2" borderId="15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10" xfId="0" applyNumberFormat="1" applyFont="1" applyFill="1" applyBorder="1" applyAlignment="1" applyProtection="1">
      <alignment horizontal="left" vertical="center" shrinkToFit="1"/>
      <protection locked="0"/>
    </xf>
    <xf numFmtId="0" fontId="2" fillId="2" borderId="1" xfId="0" applyFont="1" applyFill="1" applyBorder="1" applyProtection="1">
      <alignment vertical="center"/>
      <protection locked="0"/>
    </xf>
    <xf numFmtId="49" fontId="2" fillId="0" borderId="13" xfId="0" quotePrefix="1" applyNumberFormat="1" applyFont="1" applyBorder="1" applyAlignment="1">
      <alignment horizontal="center" vertical="center" shrinkToFit="1"/>
    </xf>
    <xf numFmtId="164" fontId="2" fillId="0" borderId="14" xfId="0" applyNumberFormat="1" applyFont="1" applyBorder="1" applyAlignment="1">
      <alignment horizontal="left" vertical="center"/>
    </xf>
    <xf numFmtId="0" fontId="0" fillId="0" borderId="14" xfId="0" applyBorder="1" applyAlignment="1"/>
    <xf numFmtId="49" fontId="2" fillId="2" borderId="10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13" xfId="0" applyNumberFormat="1" applyFont="1" applyFill="1" applyBorder="1" applyAlignment="1" applyProtection="1">
      <alignment horizontal="center" vertical="center" shrinkToFit="1"/>
      <protection locked="0"/>
    </xf>
    <xf numFmtId="0" fontId="0" fillId="0" borderId="13" xfId="0" applyBorder="1" applyAlignment="1" applyProtection="1">
      <protection locked="0"/>
    </xf>
    <xf numFmtId="0" fontId="2" fillId="2" borderId="10" xfId="0" applyFont="1" applyFill="1" applyBorder="1" applyAlignment="1" applyProtection="1">
      <alignment horizontal="left" vertical="center" shrinkToFit="1"/>
      <protection locked="0"/>
    </xf>
    <xf numFmtId="49" fontId="2" fillId="2" borderId="20" xfId="0" applyNumberFormat="1" applyFont="1" applyFill="1" applyBorder="1" applyAlignment="1" applyProtection="1">
      <alignment horizontal="center" vertical="center" shrinkToFit="1"/>
      <protection locked="0"/>
    </xf>
    <xf numFmtId="0" fontId="0" fillId="0" borderId="20" xfId="0" applyBorder="1" applyAlignment="1" applyProtection="1">
      <protection locked="0"/>
    </xf>
    <xf numFmtId="3" fontId="2" fillId="0" borderId="15" xfId="0" applyNumberFormat="1" applyFont="1" applyBorder="1" applyAlignment="1">
      <alignment horizontal="center" vertical="center" shrinkToFit="1"/>
    </xf>
    <xf numFmtId="0" fontId="0" fillId="0" borderId="28" xfId="0" applyBorder="1" applyAlignment="1"/>
    <xf numFmtId="1" fontId="2" fillId="2" borderId="18" xfId="0" applyNumberFormat="1" applyFont="1" applyFill="1" applyBorder="1" applyAlignment="1" applyProtection="1">
      <alignment horizontal="center" vertical="center" shrinkToFit="1"/>
      <protection locked="0"/>
    </xf>
    <xf numFmtId="0" fontId="0" fillId="0" borderId="21" xfId="0" applyBorder="1" applyAlignment="1" applyProtection="1">
      <protection locked="0"/>
    </xf>
    <xf numFmtId="49" fontId="2" fillId="2" borderId="56" xfId="0" applyNumberFormat="1" applyFont="1" applyFill="1" applyBorder="1" applyAlignment="1" applyProtection="1">
      <alignment horizontal="center" vertical="center" shrinkToFit="1"/>
      <protection locked="0"/>
    </xf>
    <xf numFmtId="0" fontId="0" fillId="0" borderId="35" xfId="0" applyBorder="1" applyAlignment="1" applyProtection="1">
      <protection locked="0"/>
    </xf>
    <xf numFmtId="0" fontId="0" fillId="0" borderId="38" xfId="0" applyBorder="1" applyAlignment="1" applyProtection="1">
      <protection locked="0"/>
    </xf>
    <xf numFmtId="3" fontId="2" fillId="2" borderId="42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21" xfId="0" applyFont="1" applyFill="1" applyBorder="1" applyAlignment="1" applyProtection="1">
      <alignment horizontal="right" vertical="center" shrinkToFit="1"/>
      <protection locked="0"/>
    </xf>
    <xf numFmtId="0" fontId="0" fillId="0" borderId="49" xfId="0" applyBorder="1" applyAlignment="1" applyProtection="1">
      <protection locked="0"/>
    </xf>
    <xf numFmtId="49" fontId="2" fillId="2" borderId="1" xfId="0" applyNumberFormat="1" applyFont="1" applyFill="1" applyBorder="1" applyAlignment="1" applyProtection="1">
      <alignment horizontal="left" vertical="center" shrinkToFit="1"/>
      <protection locked="0"/>
    </xf>
    <xf numFmtId="1" fontId="2" fillId="2" borderId="20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15" xfId="0" applyNumberFormat="1" applyFont="1" applyFill="1" applyBorder="1" applyAlignment="1" applyProtection="1">
      <alignment horizontal="left" vertical="center" shrinkToFit="1"/>
      <protection locked="0"/>
    </xf>
    <xf numFmtId="0" fontId="2" fillId="0" borderId="26" xfId="0" applyFont="1" applyBorder="1" applyAlignment="1">
      <alignment horizontal="center" vertical="center"/>
    </xf>
    <xf numFmtId="0" fontId="0" fillId="0" borderId="26" xfId="0" applyBorder="1" applyAlignment="1"/>
    <xf numFmtId="0" fontId="2" fillId="2" borderId="10" xfId="0" applyFont="1" applyFill="1" applyBorder="1" applyAlignment="1" applyProtection="1">
      <alignment horizontal="left" vertical="top" wrapText="1"/>
      <protection locked="0"/>
    </xf>
    <xf numFmtId="0" fontId="0" fillId="0" borderId="14" xfId="0" applyBorder="1" applyAlignment="1" applyProtection="1">
      <protection locked="0"/>
    </xf>
    <xf numFmtId="3" fontId="2" fillId="2" borderId="3" xfId="0" applyNumberFormat="1" applyFont="1" applyFill="1" applyBorder="1" applyAlignment="1" applyProtection="1">
      <alignment horizontal="center" vertical="center" shrinkToFit="1"/>
      <protection locked="0"/>
    </xf>
    <xf numFmtId="0" fontId="2" fillId="0" borderId="0" xfId="0" applyFont="1" applyAlignment="1">
      <alignment horizontal="right" vertical="center"/>
    </xf>
    <xf numFmtId="1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1" xfId="0" applyNumberFormat="1" applyFont="1" applyFill="1" applyBorder="1" applyAlignment="1" applyProtection="1">
      <alignment horizontal="center" vertical="center"/>
      <protection locked="0"/>
    </xf>
    <xf numFmtId="49" fontId="2" fillId="2" borderId="47" xfId="0" applyNumberFormat="1" applyFont="1" applyFill="1" applyBorder="1" applyAlignment="1" applyProtection="1">
      <alignment horizontal="center" vertical="center" shrinkToFit="1"/>
      <protection locked="0"/>
    </xf>
    <xf numFmtId="0" fontId="2" fillId="0" borderId="19" xfId="0" applyFont="1" applyBorder="1" applyAlignment="1">
      <alignment horizontal="center" vertical="center"/>
    </xf>
    <xf numFmtId="0" fontId="0" fillId="0" borderId="45" xfId="0" applyBorder="1" applyAlignment="1"/>
    <xf numFmtId="0" fontId="0" fillId="0" borderId="64" xfId="0" applyBorder="1" applyAlignment="1"/>
    <xf numFmtId="0" fontId="0" fillId="0" borderId="48" xfId="0" applyBorder="1" applyAlignment="1"/>
    <xf numFmtId="0" fontId="2" fillId="0" borderId="23" xfId="0" applyFont="1" applyBorder="1" applyAlignment="1">
      <alignment horizontal="center" vertical="center"/>
    </xf>
    <xf numFmtId="0" fontId="0" fillId="0" borderId="24" xfId="0" applyBorder="1" applyAlignment="1"/>
    <xf numFmtId="0" fontId="2" fillId="0" borderId="48" xfId="0" applyFont="1" applyBorder="1" applyAlignment="1">
      <alignment horizontal="left" vertical="center"/>
    </xf>
    <xf numFmtId="49" fontId="8" fillId="2" borderId="58" xfId="0" quotePrefix="1" applyNumberFormat="1" applyFont="1" applyFill="1" applyBorder="1" applyAlignment="1" applyProtection="1">
      <alignment horizontal="center" vertical="center" shrinkToFit="1"/>
      <protection locked="0"/>
    </xf>
    <xf numFmtId="0" fontId="2" fillId="0" borderId="34" xfId="0" applyFont="1" applyBorder="1" applyAlignment="1">
      <alignment horizontal="center" vertical="center"/>
    </xf>
    <xf numFmtId="0" fontId="0" fillId="0" borderId="32" xfId="0" applyBorder="1" applyAlignment="1"/>
    <xf numFmtId="0" fontId="2" fillId="0" borderId="0" xfId="0" applyFont="1">
      <alignment vertical="center"/>
    </xf>
    <xf numFmtId="1" fontId="2" fillId="0" borderId="29" xfId="0" applyNumberFormat="1" applyFont="1" applyBorder="1" applyAlignment="1">
      <alignment horizontal="center" vertical="center" shrinkToFit="1"/>
    </xf>
    <xf numFmtId="0" fontId="0" fillId="0" borderId="29" xfId="0" applyBorder="1" applyAlignment="1"/>
    <xf numFmtId="1" fontId="2" fillId="2" borderId="21" xfId="0" applyNumberFormat="1" applyFont="1" applyFill="1" applyBorder="1" applyAlignment="1" applyProtection="1">
      <alignment horizontal="center" vertical="center" shrinkToFit="1"/>
      <protection locked="0"/>
    </xf>
    <xf numFmtId="1" fontId="2" fillId="2" borderId="28" xfId="0" applyNumberFormat="1" applyFont="1" applyFill="1" applyBorder="1" applyAlignment="1" applyProtection="1">
      <alignment horizontal="center" vertical="center" shrinkToFit="1"/>
      <protection locked="0"/>
    </xf>
    <xf numFmtId="49" fontId="2" fillId="0" borderId="13" xfId="0" applyNumberFormat="1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0" fillId="0" borderId="11" xfId="0" applyBorder="1" applyAlignment="1"/>
    <xf numFmtId="3" fontId="2" fillId="2" borderId="27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10" xfId="0" applyFont="1" applyFill="1" applyBorder="1" applyAlignment="1" applyProtection="1">
      <alignment horizontal="left" vertical="top" shrinkToFit="1"/>
      <protection locked="0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3" fontId="2" fillId="0" borderId="28" xfId="0" applyNumberFormat="1" applyFont="1" applyBorder="1" applyAlignment="1">
      <alignment horizontal="center" vertical="center" shrinkToFit="1"/>
    </xf>
    <xf numFmtId="0" fontId="2" fillId="0" borderId="65" xfId="0" applyFont="1" applyBorder="1" applyAlignment="1">
      <alignment horizontal="center" vertical="center"/>
    </xf>
    <xf numFmtId="0" fontId="0" fillId="0" borderId="25" xfId="0" applyBorder="1" applyAlignment="1"/>
    <xf numFmtId="0" fontId="2" fillId="0" borderId="1" xfId="0" applyFont="1" applyBorder="1">
      <alignment vertical="center"/>
    </xf>
    <xf numFmtId="0" fontId="0" fillId="0" borderId="1" xfId="0" applyBorder="1" applyAlignment="1"/>
    <xf numFmtId="164" fontId="2" fillId="2" borderId="10" xfId="0" applyNumberFormat="1" applyFont="1" applyFill="1" applyBorder="1" applyAlignment="1" applyProtection="1">
      <alignment horizontal="left" vertical="center" shrinkToFit="1"/>
      <protection locked="0"/>
    </xf>
    <xf numFmtId="3" fontId="2" fillId="2" borderId="22" xfId="0" applyNumberFormat="1" applyFont="1" applyFill="1" applyBorder="1" applyAlignment="1" applyProtection="1">
      <alignment horizontal="center" vertical="center" shrinkToFit="1"/>
      <protection locked="0"/>
    </xf>
    <xf numFmtId="0" fontId="0" fillId="0" borderId="12" xfId="0" applyBorder="1" applyAlignment="1" applyProtection="1">
      <protection locked="0"/>
    </xf>
    <xf numFmtId="0" fontId="2" fillId="0" borderId="11" xfId="0" applyFont="1" applyBorder="1">
      <alignment vertical="center"/>
    </xf>
    <xf numFmtId="49" fontId="21" fillId="2" borderId="58" xfId="0" applyNumberFormat="1" applyFont="1" applyFill="1" applyBorder="1" applyAlignment="1" applyProtection="1">
      <alignment horizontal="center" vertical="center" shrinkToFit="1"/>
      <protection locked="0"/>
    </xf>
    <xf numFmtId="0" fontId="8" fillId="0" borderId="58" xfId="0" applyFont="1" applyBorder="1" applyAlignment="1">
      <alignment horizontal="center" vertical="center"/>
    </xf>
    <xf numFmtId="0" fontId="0" fillId="0" borderId="39" xfId="0" applyBorder="1" applyAlignment="1"/>
    <xf numFmtId="0" fontId="2" fillId="0" borderId="14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0" fillId="0" borderId="12" xfId="0" applyBorder="1" applyAlignment="1"/>
    <xf numFmtId="0" fontId="0" fillId="0" borderId="19" xfId="0" applyBorder="1" applyAlignment="1"/>
    <xf numFmtId="0" fontId="2" fillId="0" borderId="12" xfId="0" applyFont="1" applyBorder="1" applyAlignment="1">
      <alignment horizontal="left" vertical="center"/>
    </xf>
    <xf numFmtId="0" fontId="2" fillId="2" borderId="10" xfId="0" applyFont="1" applyFill="1" applyBorder="1" applyAlignment="1" applyProtection="1">
      <alignment horizontal="left" vertical="top" wrapText="1" shrinkToFit="1"/>
      <protection locked="0"/>
    </xf>
    <xf numFmtId="3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0" fontId="0" fillId="0" borderId="48" xfId="0" applyBorder="1" applyAlignment="1" applyProtection="1">
      <protection locked="0"/>
    </xf>
    <xf numFmtId="0" fontId="0" fillId="0" borderId="30" xfId="0" applyBorder="1" applyAlignment="1" applyProtection="1">
      <protection locked="0"/>
    </xf>
    <xf numFmtId="49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16" fillId="2" borderId="1" xfId="0" applyFont="1" applyFill="1" applyBorder="1" applyAlignment="1" applyProtection="1">
      <alignment horizontal="center"/>
      <protection locked="0"/>
    </xf>
    <xf numFmtId="0" fontId="2" fillId="0" borderId="0" xfId="0" applyFont="1" applyAlignment="1">
      <alignment horizontal="center" vertical="center"/>
    </xf>
    <xf numFmtId="49" fontId="2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50" xfId="0" applyFont="1" applyFill="1" applyBorder="1" applyAlignment="1" applyProtection="1">
      <alignment horizontal="right" vertical="center" shrinkToFit="1"/>
      <protection locked="0"/>
    </xf>
    <xf numFmtId="0" fontId="0" fillId="0" borderId="51" xfId="0" applyBorder="1" applyAlignment="1" applyProtection="1">
      <protection locked="0"/>
    </xf>
    <xf numFmtId="0" fontId="0" fillId="0" borderId="50" xfId="0" applyBorder="1" applyAlignment="1" applyProtection="1">
      <protection locked="0"/>
    </xf>
    <xf numFmtId="0" fontId="2" fillId="2" borderId="27" xfId="0" applyFont="1" applyFill="1" applyBorder="1" applyAlignment="1" applyProtection="1">
      <alignment horizontal="center" vertical="top" shrinkToFit="1"/>
      <protection locked="0"/>
    </xf>
    <xf numFmtId="0" fontId="2" fillId="0" borderId="63" xfId="0" applyFont="1" applyBorder="1" applyAlignment="1">
      <alignment horizontal="center" vertical="center"/>
    </xf>
    <xf numFmtId="0" fontId="0" fillId="0" borderId="43" xfId="0" applyBorder="1" applyAlignment="1"/>
    <xf numFmtId="0" fontId="0" fillId="0" borderId="44" xfId="0" applyBorder="1" applyAlignment="1"/>
    <xf numFmtId="0" fontId="2" fillId="3" borderId="0" xfId="0" applyFont="1" applyFill="1" applyAlignment="1">
      <alignment horizontal="center" vertical="center"/>
    </xf>
    <xf numFmtId="0" fontId="2" fillId="2" borderId="1" xfId="0" applyFont="1" applyFill="1" applyBorder="1" applyAlignment="1" applyProtection="1">
      <alignment horizontal="left" vertical="top" shrinkToFit="1"/>
      <protection locked="0"/>
    </xf>
    <xf numFmtId="3" fontId="2" fillId="2" borderId="10" xfId="0" applyNumberFormat="1" applyFont="1" applyFill="1" applyBorder="1" applyAlignment="1" applyProtection="1">
      <alignment horizontal="left" vertical="center" shrinkToFit="1"/>
      <protection locked="0"/>
    </xf>
    <xf numFmtId="9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55" xfId="0" applyFont="1" applyFill="1" applyBorder="1" applyAlignment="1" applyProtection="1">
      <alignment horizontal="center" vertical="top" shrinkToFit="1"/>
      <protection locked="0"/>
    </xf>
    <xf numFmtId="0" fontId="0" fillId="0" borderId="61" xfId="0" applyBorder="1" applyAlignment="1" applyProtection="1">
      <protection locked="0"/>
    </xf>
    <xf numFmtId="0" fontId="21" fillId="2" borderId="15" xfId="0" applyFont="1" applyFill="1" applyBorder="1" applyAlignment="1" applyProtection="1">
      <alignment horizontal="center" vertical="center" shrinkToFit="1"/>
      <protection locked="0"/>
    </xf>
    <xf numFmtId="0" fontId="2" fillId="2" borderId="54" xfId="0" applyFont="1" applyFill="1" applyBorder="1" applyAlignment="1" applyProtection="1">
      <alignment horizontal="center" vertical="top" shrinkToFit="1"/>
      <protection locked="0"/>
    </xf>
    <xf numFmtId="0" fontId="0" fillId="0" borderId="60" xfId="0" applyBorder="1" applyAlignment="1" applyProtection="1">
      <protection locked="0"/>
    </xf>
    <xf numFmtId="0" fontId="2" fillId="0" borderId="26" xfId="0" applyFont="1" applyBorder="1" applyAlignment="1">
      <alignment horizontal="left" vertical="center"/>
    </xf>
    <xf numFmtId="0" fontId="2" fillId="0" borderId="36" xfId="0" applyFont="1" applyBorder="1" applyAlignment="1">
      <alignment horizontal="center" vertical="center"/>
    </xf>
    <xf numFmtId="0" fontId="0" fillId="0" borderId="37" xfId="0" applyBorder="1" applyAlignment="1"/>
    <xf numFmtId="0" fontId="5" fillId="0" borderId="16" xfId="0" applyFont="1" applyBorder="1" applyAlignment="1">
      <alignment horizontal="right" vertical="center"/>
    </xf>
    <xf numFmtId="0" fontId="0" fillId="0" borderId="16" xfId="0" applyBorder="1" applyAlignment="1"/>
    <xf numFmtId="0" fontId="2" fillId="0" borderId="1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shrinkToFit="1"/>
    </xf>
    <xf numFmtId="3" fontId="2" fillId="2" borderId="1" xfId="0" applyNumberFormat="1" applyFont="1" applyFill="1" applyBorder="1" applyAlignment="1">
      <alignment horizontal="left" vertical="center" shrinkToFit="1"/>
    </xf>
    <xf numFmtId="0" fontId="7" fillId="0" borderId="0" xfId="0" applyFont="1" applyAlignment="1">
      <alignment horizontal="left" vertical="center"/>
    </xf>
    <xf numFmtId="164" fontId="2" fillId="2" borderId="10" xfId="0" applyNumberFormat="1" applyFont="1" applyFill="1" applyBorder="1" applyAlignment="1">
      <alignment horizontal="left" vertical="center" shrinkToFit="1"/>
    </xf>
    <xf numFmtId="0" fontId="2" fillId="0" borderId="14" xfId="0" applyFont="1" applyBorder="1" applyAlignment="1">
      <alignment horizontal="left" vertical="center"/>
    </xf>
  </cellXfs>
  <cellStyles count="5">
    <cellStyle name="Normal" xfId="0" builtinId="0"/>
    <cellStyle name="Normal 2" xfId="1" xr:uid="{00000000-0005-0000-0000-00002A000000}"/>
    <cellStyle name="Normal 3" xfId="3" xr:uid="{00000000-0005-0000-0000-00002C000000}"/>
    <cellStyle name="Normal 4" xfId="2" xr:uid="{00000000-0005-0000-0000-00002B000000}"/>
    <cellStyle name="Normal 5" xfId="4" xr:uid="{00000000-0005-0000-0000-00002D000000}"/>
  </cellStyles>
  <dxfs count="26">
    <dxf>
      <fill>
        <patternFill>
          <bgColor rgb="FFFFC000"/>
        </patternFill>
      </fill>
    </dxf>
    <dxf>
      <font>
        <b/>
        <i/>
        <color rgb="FFFF0000"/>
      </font>
      <fill>
        <patternFill patternType="solid">
          <bgColor theme="0" tint="-4.9989318521683403E-2"/>
        </patternFill>
      </fill>
    </dxf>
    <dxf>
      <font>
        <b/>
        <i/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/>
        <color rgb="FFFF0000"/>
      </font>
      <fill>
        <patternFill>
          <bgColor theme="0" tint="-4.9989318521683403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/>
        <color rgb="FFFF0000"/>
      </font>
      <fill>
        <patternFill>
          <bgColor theme="0" tint="-4.9989318521683403E-2"/>
        </patternFill>
      </fill>
    </dxf>
    <dxf>
      <font>
        <b/>
        <i/>
        <color rgb="FFFF0000"/>
      </font>
      <fill>
        <patternFill>
          <bgColor theme="0" tint="-4.9989318521683403E-2"/>
        </patternFill>
      </fill>
    </dxf>
    <dxf>
      <font>
        <b/>
        <i/>
        <color rgb="FFFF0000"/>
      </font>
      <fill>
        <patternFill>
          <bgColor theme="0" tint="-4.9989318521683403E-2"/>
        </patternFill>
      </fill>
    </dxf>
    <dxf>
      <font>
        <b/>
        <i/>
        <color rgb="FFFF0000"/>
      </font>
      <fill>
        <patternFill>
          <bgColor theme="0" tint="-4.9989318521683403E-2"/>
        </patternFill>
      </fill>
    </dxf>
    <dxf>
      <font>
        <b/>
        <i/>
        <color rgb="FFFF0000"/>
      </font>
      <fill>
        <patternFill>
          <bgColor theme="0" tint="-4.9989318521683403E-2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  <color rgb="FFFF0000"/>
      </font>
      <fill>
        <patternFill patternType="solid">
          <bgColor theme="0" tint="-4.9989318521683403E-2"/>
        </patternFill>
      </fill>
    </dxf>
    <dxf>
      <font>
        <b/>
        <i/>
        <color rgb="FFFF0000"/>
      </font>
      <fill>
        <patternFill patternType="solid">
          <bgColor theme="0" tint="-4.9989318521683403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14653</xdr:colOff>
      <xdr:row>1</xdr:row>
      <xdr:rowOff>189202</xdr:rowOff>
    </xdr:from>
    <xdr:to>
      <xdr:col>4</xdr:col>
      <xdr:colOff>66387</xdr:colOff>
      <xdr:row>1</xdr:row>
      <xdr:rowOff>570202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1841" t="28751" r="11012" b="28409"/>
        <a:stretch>
          <a:fillRect/>
        </a:stretch>
      </xdr:blipFill>
      <xdr:spPr bwMode="auto">
        <a:xfrm>
          <a:off x="14653" y="312616"/>
          <a:ext cx="1152071" cy="3810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14</xdr:col>
      <xdr:colOff>134470</xdr:colOff>
      <xdr:row>305</xdr:row>
      <xdr:rowOff>67235</xdr:rowOff>
    </xdr:from>
    <xdr:to>
      <xdr:col>20</xdr:col>
      <xdr:colOff>193374</xdr:colOff>
      <xdr:row>309</xdr:row>
      <xdr:rowOff>7845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b="9369"/>
        <a:stretch>
          <a:fillRect/>
        </a:stretch>
      </xdr:blipFill>
      <xdr:spPr>
        <a:xfrm>
          <a:off x="4071470" y="16457706"/>
          <a:ext cx="1694962" cy="5083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175846</xdr:rowOff>
    </xdr:from>
    <xdr:to>
      <xdr:col>4</xdr:col>
      <xdr:colOff>116533</xdr:colOff>
      <xdr:row>1</xdr:row>
      <xdr:rowOff>556846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1841" t="28751" r="11012" b="28409"/>
        <a:stretch>
          <a:fillRect/>
        </a:stretch>
      </xdr:blipFill>
      <xdr:spPr bwMode="auto">
        <a:xfrm>
          <a:off x="0" y="297961"/>
          <a:ext cx="1152071" cy="3810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219807</xdr:rowOff>
    </xdr:from>
    <xdr:to>
      <xdr:col>4</xdr:col>
      <xdr:colOff>116533</xdr:colOff>
      <xdr:row>1</xdr:row>
      <xdr:rowOff>600807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1841" t="28751" r="11012" b="28409"/>
        <a:stretch>
          <a:fillRect/>
        </a:stretch>
      </xdr:blipFill>
      <xdr:spPr bwMode="auto">
        <a:xfrm>
          <a:off x="0" y="341922"/>
          <a:ext cx="1152071" cy="3810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24423</xdr:colOff>
      <xdr:row>1</xdr:row>
      <xdr:rowOff>219807</xdr:rowOff>
    </xdr:from>
    <xdr:to>
      <xdr:col>4</xdr:col>
      <xdr:colOff>140956</xdr:colOff>
      <xdr:row>1</xdr:row>
      <xdr:rowOff>600807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1841" t="28751" r="11012" b="28409"/>
        <a:stretch>
          <a:fillRect/>
        </a:stretch>
      </xdr:blipFill>
      <xdr:spPr bwMode="auto">
        <a:xfrm>
          <a:off x="24423" y="341922"/>
          <a:ext cx="1152071" cy="3810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24423</xdr:colOff>
      <xdr:row>1</xdr:row>
      <xdr:rowOff>219807</xdr:rowOff>
    </xdr:from>
    <xdr:to>
      <xdr:col>4</xdr:col>
      <xdr:colOff>140956</xdr:colOff>
      <xdr:row>1</xdr:row>
      <xdr:rowOff>600807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1841" t="28751" r="11012" b="28409"/>
        <a:stretch>
          <a:fillRect/>
        </a:stretch>
      </xdr:blipFill>
      <xdr:spPr bwMode="auto">
        <a:xfrm>
          <a:off x="24423" y="341727"/>
          <a:ext cx="1152853" cy="3810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24423</xdr:colOff>
      <xdr:row>1</xdr:row>
      <xdr:rowOff>219807</xdr:rowOff>
    </xdr:from>
    <xdr:to>
      <xdr:col>4</xdr:col>
      <xdr:colOff>140956</xdr:colOff>
      <xdr:row>1</xdr:row>
      <xdr:rowOff>600807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1841" t="28751" r="11012" b="28409"/>
        <a:stretch>
          <a:fillRect/>
        </a:stretch>
      </xdr:blipFill>
      <xdr:spPr bwMode="auto">
        <a:xfrm>
          <a:off x="24423" y="341727"/>
          <a:ext cx="1152853" cy="3810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24423</xdr:colOff>
      <xdr:row>1</xdr:row>
      <xdr:rowOff>219807</xdr:rowOff>
    </xdr:from>
    <xdr:to>
      <xdr:col>4</xdr:col>
      <xdr:colOff>140956</xdr:colOff>
      <xdr:row>1</xdr:row>
      <xdr:rowOff>600807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1841" t="28751" r="11012" b="28409"/>
        <a:stretch>
          <a:fillRect/>
        </a:stretch>
      </xdr:blipFill>
      <xdr:spPr bwMode="auto">
        <a:xfrm>
          <a:off x="24423" y="341727"/>
          <a:ext cx="1152853" cy="3810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AG580"/>
  <sheetViews>
    <sheetView showGridLines="0" tabSelected="1" zoomScale="130" zoomScaleNormal="130" workbookViewId="0">
      <pane ySplit="1" topLeftCell="A2" activePane="bottomLeft" state="frozen"/>
      <selection activeCell="D7" sqref="D7:H7"/>
      <selection pane="bottomLeft" activeCell="U8" sqref="U8:Y8"/>
    </sheetView>
  </sheetViews>
  <sheetFormatPr defaultColWidth="9.21875" defaultRowHeight="15" customHeight="1"/>
  <cols>
    <col min="1" max="2" width="3.77734375" style="11" customWidth="1"/>
    <col min="3" max="3" width="4.77734375" style="11" customWidth="1"/>
    <col min="4" max="5" width="3.77734375" style="11" customWidth="1"/>
    <col min="6" max="6" width="5.5546875" style="11" customWidth="1"/>
    <col min="7" max="10" width="3.77734375" style="11" customWidth="1"/>
    <col min="11" max="11" width="4.6640625" style="11" customWidth="1"/>
    <col min="12" max="14" width="3.77734375" style="11" customWidth="1"/>
    <col min="15" max="15" width="4.21875" style="11" customWidth="1"/>
    <col min="16" max="25" width="3.77734375" style="11" customWidth="1"/>
    <col min="26" max="26" width="3.44140625" style="35" customWidth="1"/>
    <col min="27" max="31" width="2.44140625" style="42" customWidth="1"/>
    <col min="32" max="32" width="2.77734375" style="11" customWidth="1"/>
    <col min="33" max="33" width="2.88671875" style="11" customWidth="1"/>
    <col min="34" max="34" width="9.21875" style="11" customWidth="1"/>
    <col min="35" max="16384" width="9.21875" style="11"/>
  </cols>
  <sheetData>
    <row r="1" spans="1:33" ht="10.050000000000001" customHeight="1"/>
    <row r="2" spans="1:33" ht="72.599999999999994" customHeight="1">
      <c r="A2" s="13"/>
      <c r="B2" s="1"/>
      <c r="C2" s="1"/>
      <c r="D2" s="13"/>
      <c r="E2" s="88" t="s">
        <v>0</v>
      </c>
      <c r="F2" s="89"/>
      <c r="G2" s="89"/>
      <c r="H2" s="90"/>
      <c r="I2" s="89"/>
      <c r="J2" s="89"/>
      <c r="K2" s="89"/>
      <c r="L2" s="89"/>
      <c r="M2" s="89"/>
      <c r="N2" s="1"/>
      <c r="O2" s="1"/>
      <c r="P2" s="1"/>
      <c r="Q2" s="1"/>
      <c r="R2" s="1"/>
      <c r="S2" s="1"/>
      <c r="T2" s="1"/>
      <c r="U2" s="13"/>
      <c r="V2" s="13"/>
      <c r="W2" s="13"/>
      <c r="X2" s="13"/>
      <c r="Y2" s="13"/>
      <c r="AA2" s="44"/>
      <c r="AB2" s="46"/>
      <c r="AC2" s="44"/>
      <c r="AD2" s="46"/>
      <c r="AE2" s="44"/>
      <c r="AF2" s="44"/>
      <c r="AG2" s="44"/>
    </row>
    <row r="3" spans="1:33" ht="8.1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4"/>
      <c r="O3" s="13"/>
      <c r="P3" s="13"/>
      <c r="Q3" s="13"/>
      <c r="R3" s="14"/>
      <c r="S3" s="14"/>
      <c r="T3" s="14"/>
      <c r="U3" s="13"/>
      <c r="V3" s="13"/>
      <c r="W3" s="13"/>
      <c r="X3" s="13"/>
      <c r="Y3" s="13"/>
      <c r="AA3" s="44"/>
      <c r="AB3" s="46"/>
      <c r="AC3" s="44"/>
      <c r="AD3" s="46"/>
      <c r="AE3" s="44"/>
      <c r="AF3" s="44"/>
      <c r="AG3" s="44"/>
    </row>
    <row r="4" spans="1:33" ht="12" customHeight="1">
      <c r="A4" s="168" t="s">
        <v>1</v>
      </c>
      <c r="B4" s="118"/>
      <c r="C4" s="118"/>
      <c r="D4" s="146" t="s">
        <v>2</v>
      </c>
      <c r="E4" s="103"/>
      <c r="F4" s="103"/>
      <c r="G4" s="103"/>
      <c r="H4" s="103"/>
      <c r="I4" s="117" t="s">
        <v>3</v>
      </c>
      <c r="J4" s="118"/>
      <c r="K4" s="118"/>
      <c r="L4" s="146" t="s">
        <v>4</v>
      </c>
      <c r="M4" s="103"/>
      <c r="N4" s="103"/>
      <c r="O4" s="103"/>
      <c r="P4" s="103"/>
      <c r="Q4" s="103"/>
      <c r="R4" s="168" t="s">
        <v>5</v>
      </c>
      <c r="S4" s="118"/>
      <c r="T4" s="118"/>
      <c r="U4" s="146" t="s">
        <v>6</v>
      </c>
      <c r="V4" s="103"/>
      <c r="W4" s="103"/>
      <c r="X4" s="103"/>
      <c r="Y4" s="103"/>
      <c r="AA4" s="44"/>
      <c r="AB4" s="46"/>
      <c r="AC4" s="44"/>
      <c r="AD4" s="46"/>
      <c r="AE4" s="44"/>
      <c r="AF4" s="44"/>
      <c r="AG4" s="44"/>
    </row>
    <row r="5" spans="1:33" ht="12" customHeight="1">
      <c r="A5" s="117" t="s">
        <v>1227</v>
      </c>
      <c r="B5" s="118"/>
      <c r="C5" s="118"/>
      <c r="D5" s="146" t="s">
        <v>7</v>
      </c>
      <c r="E5" s="103"/>
      <c r="F5" s="103"/>
      <c r="G5" s="103"/>
      <c r="H5" s="103"/>
      <c r="I5" s="168" t="s">
        <v>8</v>
      </c>
      <c r="J5" s="118"/>
      <c r="K5" s="118"/>
      <c r="L5" s="146" t="s">
        <v>9</v>
      </c>
      <c r="M5" s="103"/>
      <c r="N5" s="103"/>
      <c r="O5" s="103"/>
      <c r="P5" s="103"/>
      <c r="Q5" s="103"/>
      <c r="R5" s="168" t="s">
        <v>1228</v>
      </c>
      <c r="S5" s="118"/>
      <c r="T5" s="118"/>
      <c r="U5" s="146" t="s">
        <v>10</v>
      </c>
      <c r="V5" s="103"/>
      <c r="W5" s="103"/>
      <c r="X5" s="103"/>
      <c r="Y5" s="103"/>
      <c r="AA5" s="45"/>
      <c r="AB5" s="46"/>
      <c r="AC5" s="44"/>
      <c r="AD5" s="46"/>
      <c r="AE5" s="44"/>
      <c r="AF5" s="44"/>
      <c r="AG5" s="44"/>
    </row>
    <row r="6" spans="1:33" ht="12" customHeight="1">
      <c r="A6" s="117" t="s">
        <v>11</v>
      </c>
      <c r="B6" s="118"/>
      <c r="C6" s="118"/>
      <c r="D6" s="125" t="s">
        <v>12</v>
      </c>
      <c r="E6" s="109"/>
      <c r="F6" s="109"/>
      <c r="G6" s="109"/>
      <c r="H6" s="109"/>
      <c r="I6" s="168" t="s">
        <v>13</v>
      </c>
      <c r="J6" s="118"/>
      <c r="K6" s="118"/>
      <c r="L6" s="146" t="s">
        <v>14</v>
      </c>
      <c r="M6" s="103"/>
      <c r="N6" s="103"/>
      <c r="O6" s="103"/>
      <c r="P6" s="103"/>
      <c r="Q6" s="103"/>
      <c r="R6" s="168" t="s">
        <v>15</v>
      </c>
      <c r="S6" s="118"/>
      <c r="T6" s="118"/>
      <c r="U6" s="214" t="s">
        <v>16</v>
      </c>
      <c r="V6" s="109"/>
      <c r="W6" s="109"/>
      <c r="X6" s="109"/>
      <c r="Y6" s="109"/>
      <c r="AA6" s="44"/>
      <c r="AB6" s="46"/>
      <c r="AC6" s="44"/>
      <c r="AD6" s="46"/>
      <c r="AE6" s="44"/>
      <c r="AF6" s="44"/>
      <c r="AG6" s="44"/>
    </row>
    <row r="7" spans="1:33" ht="12" customHeight="1">
      <c r="A7" s="168" t="s">
        <v>17</v>
      </c>
      <c r="B7" s="118"/>
      <c r="C7" s="118"/>
      <c r="D7" s="125" t="s">
        <v>18</v>
      </c>
      <c r="E7" s="109"/>
      <c r="F7" s="109"/>
      <c r="G7" s="109"/>
      <c r="H7" s="109"/>
      <c r="I7" s="168" t="s">
        <v>19</v>
      </c>
      <c r="J7" s="118"/>
      <c r="K7" s="118"/>
      <c r="L7" s="185">
        <v>46046</v>
      </c>
      <c r="M7" s="109"/>
      <c r="N7" s="109"/>
      <c r="O7" s="109"/>
      <c r="P7" s="109"/>
      <c r="Q7" s="109"/>
      <c r="R7" s="168" t="s">
        <v>20</v>
      </c>
      <c r="S7" s="118"/>
      <c r="T7" s="118"/>
      <c r="U7" s="214" t="s">
        <v>21</v>
      </c>
      <c r="V7" s="109"/>
      <c r="W7" s="109"/>
      <c r="X7" s="109"/>
      <c r="Y7" s="109"/>
      <c r="AA7" s="44"/>
      <c r="AB7" s="46"/>
      <c r="AC7" s="44"/>
      <c r="AD7" s="46"/>
      <c r="AE7" s="44"/>
      <c r="AF7" s="44"/>
      <c r="AG7" s="44"/>
    </row>
    <row r="8" spans="1:33" ht="12" customHeight="1">
      <c r="A8" s="168"/>
      <c r="B8" s="118"/>
      <c r="C8" s="118"/>
      <c r="D8" s="154" t="s">
        <v>22</v>
      </c>
      <c r="E8" s="118"/>
      <c r="F8" s="118"/>
      <c r="G8" s="118"/>
      <c r="H8" s="118"/>
      <c r="I8" s="118"/>
      <c r="J8" s="118"/>
      <c r="K8" s="118"/>
      <c r="L8" s="128" t="s">
        <v>23</v>
      </c>
      <c r="M8" s="129"/>
      <c r="N8" s="129"/>
      <c r="O8" s="129"/>
      <c r="P8" s="129"/>
      <c r="Q8" s="129"/>
      <c r="R8" s="168" t="s">
        <v>24</v>
      </c>
      <c r="S8" s="118"/>
      <c r="T8" s="118"/>
      <c r="U8" s="125" t="s">
        <v>25</v>
      </c>
      <c r="V8" s="109"/>
      <c r="W8" s="109"/>
      <c r="X8" s="109"/>
      <c r="Y8" s="109"/>
      <c r="AA8" s="44"/>
      <c r="AB8" s="46"/>
      <c r="AC8" s="44"/>
      <c r="AD8" s="46"/>
      <c r="AE8" s="44"/>
      <c r="AF8" s="44"/>
      <c r="AG8" s="44"/>
    </row>
    <row r="9" spans="1:33" ht="12" customHeight="1">
      <c r="A9" s="168" t="s">
        <v>26</v>
      </c>
      <c r="B9" s="118"/>
      <c r="C9" s="118"/>
      <c r="D9" s="146" t="s">
        <v>27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AA9" s="44"/>
      <c r="AB9" s="46"/>
      <c r="AC9" s="44"/>
      <c r="AD9" s="46"/>
      <c r="AE9" s="44"/>
      <c r="AF9" s="44"/>
      <c r="AG9" s="44"/>
    </row>
    <row r="10" spans="1:33" ht="12" customHeight="1">
      <c r="A10" s="168" t="s">
        <v>28</v>
      </c>
      <c r="B10" s="118"/>
      <c r="C10" s="118"/>
      <c r="D10" s="125" t="s">
        <v>29</v>
      </c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AA10" s="44"/>
      <c r="AB10" s="46"/>
      <c r="AC10" s="44"/>
      <c r="AD10" s="46"/>
      <c r="AE10" s="44"/>
      <c r="AF10" s="44"/>
      <c r="AG10" s="44"/>
    </row>
    <row r="11" spans="1:33" ht="4.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5"/>
      <c r="P11" s="13"/>
      <c r="Q11" s="15"/>
      <c r="R11" s="13"/>
      <c r="S11" s="15"/>
      <c r="T11" s="15"/>
      <c r="U11" s="13"/>
      <c r="V11" s="13"/>
      <c r="W11" s="13"/>
      <c r="X11" s="13"/>
      <c r="Y11" s="13"/>
      <c r="AA11" s="44"/>
      <c r="AB11" s="46"/>
      <c r="AC11" s="44"/>
      <c r="AD11" s="46"/>
      <c r="AE11" s="44"/>
      <c r="AF11" s="44"/>
      <c r="AG11" s="44"/>
    </row>
    <row r="12" spans="1:33" ht="12" customHeight="1">
      <c r="A12" s="13" t="s">
        <v>30</v>
      </c>
      <c r="B12" s="13"/>
      <c r="C12" s="13"/>
      <c r="D12" s="126" t="s">
        <v>31</v>
      </c>
      <c r="E12" s="103"/>
      <c r="F12" s="13"/>
      <c r="G12" s="13" t="s">
        <v>32</v>
      </c>
      <c r="H12" s="13"/>
      <c r="I12" s="13"/>
      <c r="J12" s="13"/>
      <c r="K12" s="126" t="s">
        <v>31</v>
      </c>
      <c r="L12" s="103"/>
      <c r="M12" s="13"/>
      <c r="N12" s="15" t="s">
        <v>33</v>
      </c>
      <c r="O12" s="13"/>
      <c r="P12" s="201" t="s">
        <v>34</v>
      </c>
      <c r="Q12" s="103"/>
      <c r="R12" s="103"/>
      <c r="S12" s="103"/>
      <c r="T12" s="15"/>
      <c r="U12" s="92" t="s">
        <v>35</v>
      </c>
      <c r="V12" s="228" t="s">
        <v>36</v>
      </c>
      <c r="W12" s="184"/>
      <c r="X12" s="92" t="s">
        <v>37</v>
      </c>
      <c r="Y12" s="13"/>
      <c r="AA12" s="44"/>
      <c r="AB12" s="46"/>
      <c r="AC12" s="44"/>
      <c r="AD12" s="46"/>
      <c r="AE12" s="44"/>
      <c r="AF12" s="44"/>
      <c r="AG12" s="44"/>
    </row>
    <row r="13" spans="1:33" ht="12" customHeight="1">
      <c r="A13" s="13" t="s">
        <v>38</v>
      </c>
      <c r="B13" s="13"/>
      <c r="C13" s="13"/>
      <c r="D13" s="126" t="s">
        <v>31</v>
      </c>
      <c r="E13" s="103"/>
      <c r="F13" s="13"/>
      <c r="G13" s="13" t="s">
        <v>39</v>
      </c>
      <c r="H13" s="13"/>
      <c r="I13" s="13"/>
      <c r="J13" s="13"/>
      <c r="K13" s="126" t="s">
        <v>31</v>
      </c>
      <c r="L13" s="103"/>
      <c r="M13" s="183"/>
      <c r="N13" s="184"/>
      <c r="O13" s="184"/>
      <c r="P13" s="184"/>
      <c r="Q13" s="184"/>
      <c r="R13" s="184"/>
      <c r="S13" s="184"/>
      <c r="T13" s="13"/>
      <c r="U13" s="13" t="s">
        <v>40</v>
      </c>
      <c r="V13" s="13"/>
      <c r="W13" s="183" t="s">
        <v>41</v>
      </c>
      <c r="X13" s="184"/>
      <c r="Y13" s="13"/>
      <c r="AA13" s="44"/>
      <c r="AB13" s="46"/>
      <c r="AC13" s="44"/>
      <c r="AD13" s="46"/>
      <c r="AE13" s="44"/>
      <c r="AF13" s="44"/>
      <c r="AG13" s="44"/>
    </row>
    <row r="14" spans="1:33" ht="5.0999999999999996" customHeight="1" thickBo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AA14" s="44"/>
      <c r="AB14" s="46"/>
      <c r="AC14" s="44"/>
      <c r="AD14" s="46"/>
      <c r="AE14" s="44"/>
      <c r="AF14" s="44"/>
      <c r="AG14" s="44"/>
    </row>
    <row r="15" spans="1:33" ht="5.0999999999999996" customHeight="1">
      <c r="A15" s="5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55"/>
      <c r="AA15" s="44"/>
      <c r="AB15" s="46"/>
      <c r="AC15" s="44"/>
      <c r="AD15" s="46"/>
      <c r="AE15" s="44"/>
      <c r="AF15" s="44"/>
      <c r="AG15" s="44"/>
    </row>
    <row r="16" spans="1:33" ht="12" customHeight="1">
      <c r="A16" s="224" t="s">
        <v>42</v>
      </c>
      <c r="B16" s="118"/>
      <c r="C16" s="118"/>
      <c r="D16" s="118"/>
      <c r="E16" s="118"/>
      <c r="F16" s="118"/>
      <c r="G16" s="13"/>
      <c r="H16" s="178" t="s">
        <v>43</v>
      </c>
      <c r="I16" s="179"/>
      <c r="J16" s="179"/>
      <c r="K16" s="179"/>
      <c r="L16" s="179"/>
      <c r="M16" s="179"/>
      <c r="N16" s="179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61"/>
      <c r="AA16" s="44"/>
      <c r="AB16" s="46"/>
      <c r="AC16" s="44"/>
      <c r="AD16" s="46"/>
      <c r="AE16" s="44"/>
      <c r="AF16" s="44"/>
      <c r="AG16" s="44"/>
    </row>
    <row r="17" spans="1:33" ht="12" customHeight="1">
      <c r="A17" s="225"/>
      <c r="B17" s="118"/>
      <c r="C17" s="118"/>
      <c r="D17" s="118"/>
      <c r="E17" s="118"/>
      <c r="F17" s="118"/>
      <c r="G17" s="13"/>
      <c r="H17" s="103"/>
      <c r="I17" s="103"/>
      <c r="J17" s="103"/>
      <c r="K17" s="103"/>
      <c r="L17" s="103"/>
      <c r="M17" s="103"/>
      <c r="N17" s="103"/>
      <c r="O17" s="56"/>
      <c r="P17" s="13"/>
      <c r="Q17" s="13"/>
      <c r="R17" s="13"/>
      <c r="S17" s="13"/>
      <c r="T17" s="15"/>
      <c r="U17" s="60" t="s">
        <v>44</v>
      </c>
      <c r="V17" s="202" t="s">
        <v>45</v>
      </c>
      <c r="W17" s="103"/>
      <c r="X17" s="103"/>
      <c r="Y17" s="17"/>
      <c r="Z17" s="47" t="s">
        <v>46</v>
      </c>
      <c r="AA17" s="44"/>
      <c r="AB17" s="46"/>
      <c r="AC17" s="44"/>
      <c r="AD17" s="46"/>
      <c r="AE17" s="44"/>
      <c r="AF17" s="44"/>
      <c r="AG17" s="44"/>
    </row>
    <row r="18" spans="1:33" ht="4.5" customHeight="1">
      <c r="A18" s="16"/>
      <c r="B18" s="15"/>
      <c r="C18" s="18"/>
      <c r="D18" s="18"/>
      <c r="E18" s="15"/>
      <c r="F18" s="15"/>
      <c r="G18" s="52"/>
      <c r="H18" s="15"/>
      <c r="I18" s="15"/>
      <c r="J18" s="52"/>
      <c r="K18" s="15"/>
      <c r="L18" s="15"/>
      <c r="M18" s="52"/>
      <c r="N18" s="52"/>
      <c r="O18" s="15"/>
      <c r="P18" s="13"/>
      <c r="Q18" s="13"/>
      <c r="R18" s="13"/>
      <c r="S18" s="53"/>
      <c r="T18" s="15"/>
      <c r="U18" s="15"/>
      <c r="V18" s="15"/>
      <c r="W18" s="15"/>
      <c r="X18" s="13"/>
      <c r="Y18" s="17"/>
      <c r="Z18" s="47"/>
      <c r="AA18" s="44"/>
      <c r="AB18" s="46"/>
      <c r="AC18" s="44"/>
      <c r="AD18" s="46"/>
      <c r="AE18" s="44"/>
      <c r="AF18" s="44"/>
      <c r="AG18" s="44"/>
    </row>
    <row r="19" spans="1:33" ht="12" customHeight="1">
      <c r="A19" s="16"/>
      <c r="B19" s="57" t="s">
        <v>47</v>
      </c>
      <c r="C19" s="21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58" t="s">
        <v>37</v>
      </c>
      <c r="Z19" s="35" t="s">
        <v>46</v>
      </c>
      <c r="AA19" s="77" t="s">
        <v>48</v>
      </c>
      <c r="AB19" s="46"/>
      <c r="AC19" s="44"/>
      <c r="AD19" s="46"/>
      <c r="AE19" s="44"/>
      <c r="AF19" s="44"/>
      <c r="AG19" s="44"/>
    </row>
    <row r="20" spans="1:33" ht="12" hidden="1" customHeight="1">
      <c r="A20" s="16"/>
      <c r="B20" s="15"/>
      <c r="C20" s="177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7"/>
      <c r="AA20" s="78" t="s">
        <v>49</v>
      </c>
      <c r="AB20" s="46"/>
      <c r="AC20" s="44"/>
      <c r="AD20" s="46"/>
      <c r="AE20" s="44"/>
      <c r="AF20" s="44"/>
      <c r="AG20" s="44"/>
    </row>
    <row r="21" spans="1:33" ht="12" hidden="1" customHeight="1">
      <c r="A21" s="16"/>
      <c r="B21" s="15"/>
      <c r="C21" s="177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7"/>
      <c r="AA21" s="78" t="s">
        <v>50</v>
      </c>
      <c r="AB21" s="46"/>
      <c r="AC21" s="44"/>
      <c r="AD21" s="46"/>
      <c r="AE21" s="44"/>
      <c r="AF21" s="44"/>
      <c r="AG21" s="44"/>
    </row>
    <row r="22" spans="1:33" ht="12" hidden="1" customHeight="1">
      <c r="A22" s="16"/>
      <c r="B22" s="15"/>
      <c r="C22" s="197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7"/>
      <c r="AA22" s="78" t="s">
        <v>51</v>
      </c>
      <c r="AB22" s="46"/>
      <c r="AC22" s="44"/>
      <c r="AD22" s="46"/>
      <c r="AE22" s="44"/>
      <c r="AF22" s="44"/>
      <c r="AG22" s="44"/>
    </row>
    <row r="23" spans="1:33" ht="12" hidden="1" customHeight="1">
      <c r="A23" s="16"/>
      <c r="B23" s="15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7"/>
      <c r="AA23" s="78" t="s">
        <v>51</v>
      </c>
      <c r="AB23" s="46"/>
      <c r="AC23" s="44"/>
      <c r="AD23" s="46"/>
      <c r="AE23" s="44"/>
      <c r="AF23" s="44"/>
      <c r="AG23" s="44"/>
    </row>
    <row r="24" spans="1:33" ht="12" hidden="1" customHeight="1">
      <c r="A24" s="16"/>
      <c r="B24" s="15"/>
      <c r="C24" s="151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7"/>
      <c r="AA24" s="78" t="s">
        <v>52</v>
      </c>
      <c r="AB24" s="46"/>
      <c r="AC24" s="44"/>
      <c r="AD24" s="46"/>
      <c r="AE24" s="44"/>
      <c r="AF24" s="44"/>
      <c r="AG24" s="44"/>
    </row>
    <row r="25" spans="1:33" ht="12" hidden="1" customHeight="1">
      <c r="A25" s="16"/>
      <c r="B25" s="15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7"/>
      <c r="AA25" s="78" t="s">
        <v>52</v>
      </c>
      <c r="AB25" s="46"/>
      <c r="AC25" s="44"/>
      <c r="AD25" s="46"/>
      <c r="AE25" s="44"/>
      <c r="AF25" s="44"/>
      <c r="AG25" s="44"/>
    </row>
    <row r="26" spans="1:33" ht="12" hidden="1" customHeight="1">
      <c r="A26" s="16"/>
      <c r="B26" s="15"/>
      <c r="C26" s="151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7"/>
      <c r="AA26" s="78" t="s">
        <v>53</v>
      </c>
      <c r="AB26" s="46"/>
      <c r="AC26" s="44"/>
      <c r="AD26" s="46"/>
      <c r="AE26" s="44"/>
      <c r="AF26" s="44"/>
      <c r="AG26" s="44"/>
    </row>
    <row r="27" spans="1:33" ht="12" hidden="1" customHeight="1">
      <c r="A27" s="16"/>
      <c r="B27" s="15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7"/>
      <c r="AA27" s="78" t="s">
        <v>53</v>
      </c>
      <c r="AB27" s="46"/>
      <c r="AC27" s="44"/>
      <c r="AD27" s="46"/>
      <c r="AE27" s="44"/>
      <c r="AF27" s="44"/>
      <c r="AG27" s="44"/>
    </row>
    <row r="28" spans="1:33" ht="8.1" customHeight="1" thickBot="1">
      <c r="A28" s="19"/>
      <c r="B28" s="20"/>
      <c r="C28" s="21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22"/>
      <c r="AA28" s="78"/>
      <c r="AB28" s="46"/>
      <c r="AC28" s="44"/>
      <c r="AD28" s="46"/>
      <c r="AE28" s="44"/>
      <c r="AF28" s="44"/>
      <c r="AG28" s="44"/>
    </row>
    <row r="29" spans="1:33" ht="10.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AB29" s="46"/>
      <c r="AC29" s="44"/>
      <c r="AD29" s="46"/>
      <c r="AE29" s="44"/>
      <c r="AF29" s="44"/>
      <c r="AG29" s="44"/>
    </row>
    <row r="30" spans="1:33" ht="15" customHeight="1">
      <c r="A30" s="65" t="s">
        <v>54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AB30" s="46"/>
      <c r="AC30" s="44"/>
      <c r="AD30" s="46"/>
      <c r="AE30" s="44"/>
      <c r="AF30" s="44"/>
      <c r="AG30" s="44"/>
    </row>
    <row r="31" spans="1:33" ht="5.0999999999999996" customHeight="1" thickBot="1">
      <c r="A31" s="23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AB31" s="46"/>
      <c r="AC31" s="44"/>
      <c r="AD31" s="46"/>
      <c r="AE31" s="44"/>
      <c r="AF31" s="44"/>
      <c r="AG31" s="44"/>
    </row>
    <row r="32" spans="1:33" ht="16.5" customHeight="1" thickTop="1" thickBot="1">
      <c r="A32" s="188" t="s">
        <v>55</v>
      </c>
      <c r="B32" s="175"/>
      <c r="C32" s="175"/>
      <c r="D32" s="149" t="s">
        <v>56</v>
      </c>
      <c r="E32" s="150"/>
      <c r="F32" s="150"/>
      <c r="G32" s="149" t="s">
        <v>57</v>
      </c>
      <c r="H32" s="150"/>
      <c r="I32" s="150"/>
      <c r="J32" s="149" t="s">
        <v>58</v>
      </c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AB32" s="46"/>
      <c r="AC32" s="44"/>
      <c r="AD32" s="46"/>
      <c r="AE32" s="44"/>
      <c r="AF32" s="44"/>
      <c r="AG32" s="44"/>
    </row>
    <row r="33" spans="1:33" ht="3" customHeight="1" thickTop="1">
      <c r="A33" s="13"/>
      <c r="B33" s="13"/>
      <c r="C33" s="13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AB33" s="46"/>
      <c r="AC33" s="44"/>
      <c r="AD33" s="46"/>
      <c r="AE33" s="44"/>
      <c r="AF33" s="44"/>
      <c r="AG33" s="44"/>
    </row>
    <row r="34" spans="1:33" ht="12" customHeight="1">
      <c r="A34" s="119" t="s">
        <v>59</v>
      </c>
      <c r="B34" s="120"/>
      <c r="C34" s="120"/>
      <c r="D34" s="130" t="s">
        <v>60</v>
      </c>
      <c r="E34" s="109"/>
      <c r="F34" s="109"/>
      <c r="G34" s="108" t="s">
        <v>61</v>
      </c>
      <c r="H34" s="109"/>
      <c r="I34" s="110"/>
      <c r="J34" s="133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AB34" s="46"/>
      <c r="AC34" s="44"/>
      <c r="AD34" s="46"/>
      <c r="AE34" s="44"/>
      <c r="AF34" s="44"/>
      <c r="AG34" s="44"/>
    </row>
    <row r="35" spans="1:33" ht="12" customHeight="1">
      <c r="A35" s="119" t="s">
        <v>62</v>
      </c>
      <c r="B35" s="120"/>
      <c r="C35" s="120"/>
      <c r="D35" s="130" t="s">
        <v>63</v>
      </c>
      <c r="E35" s="109"/>
      <c r="F35" s="109"/>
      <c r="G35" s="108" t="s">
        <v>61</v>
      </c>
      <c r="H35" s="109"/>
      <c r="I35" s="110"/>
      <c r="J35" s="125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AB35" s="46"/>
      <c r="AC35" s="44"/>
      <c r="AD35" s="46"/>
      <c r="AE35" s="44"/>
      <c r="AF35" s="44"/>
      <c r="AG35" s="44"/>
    </row>
    <row r="36" spans="1:33" ht="12" customHeight="1">
      <c r="A36" s="119" t="s">
        <v>64</v>
      </c>
      <c r="B36" s="120"/>
      <c r="C36" s="120"/>
      <c r="D36" s="130" t="s">
        <v>63</v>
      </c>
      <c r="E36" s="109"/>
      <c r="F36" s="109"/>
      <c r="G36" s="108" t="s">
        <v>61</v>
      </c>
      <c r="H36" s="109"/>
      <c r="I36" s="110"/>
      <c r="J36" s="125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AB36" s="46"/>
      <c r="AC36" s="44"/>
      <c r="AD36" s="46"/>
      <c r="AE36" s="44"/>
      <c r="AF36" s="44"/>
      <c r="AG36" s="44"/>
    </row>
    <row r="37" spans="1:33" ht="12" customHeight="1">
      <c r="A37" s="119" t="s">
        <v>65</v>
      </c>
      <c r="B37" s="120"/>
      <c r="C37" s="120"/>
      <c r="D37" s="130"/>
      <c r="E37" s="109"/>
      <c r="F37" s="109"/>
      <c r="G37" s="108" t="s">
        <v>16</v>
      </c>
      <c r="H37" s="109"/>
      <c r="I37" s="110"/>
      <c r="J37" s="125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AB37" s="46"/>
      <c r="AC37" s="44"/>
      <c r="AD37" s="46"/>
      <c r="AE37" s="44"/>
      <c r="AF37" s="44"/>
      <c r="AG37" s="44"/>
    </row>
    <row r="38" spans="1:33" ht="12" customHeight="1">
      <c r="A38" s="119" t="s">
        <v>66</v>
      </c>
      <c r="B38" s="120"/>
      <c r="C38" s="120"/>
      <c r="D38" s="130" t="s">
        <v>63</v>
      </c>
      <c r="E38" s="109"/>
      <c r="F38" s="109"/>
      <c r="G38" s="108" t="s">
        <v>61</v>
      </c>
      <c r="H38" s="109"/>
      <c r="I38" s="110"/>
      <c r="J38" s="125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AB38" s="46"/>
      <c r="AC38" s="44"/>
      <c r="AD38" s="46"/>
      <c r="AE38" s="44"/>
      <c r="AF38" s="44"/>
      <c r="AG38" s="44"/>
    </row>
    <row r="39" spans="1:33" ht="12" customHeight="1">
      <c r="A39" s="119" t="s">
        <v>67</v>
      </c>
      <c r="B39" s="120"/>
      <c r="C39" s="120"/>
      <c r="D39" s="130"/>
      <c r="E39" s="109"/>
      <c r="F39" s="109"/>
      <c r="G39" s="108" t="s">
        <v>16</v>
      </c>
      <c r="H39" s="109"/>
      <c r="I39" s="110"/>
      <c r="J39" s="125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AB39" s="46"/>
      <c r="AC39" s="44"/>
      <c r="AD39" s="46"/>
      <c r="AE39" s="44"/>
      <c r="AF39" s="44"/>
      <c r="AG39" s="44"/>
    </row>
    <row r="40" spans="1:33" ht="12" customHeight="1">
      <c r="A40" s="119" t="s">
        <v>68</v>
      </c>
      <c r="B40" s="120"/>
      <c r="C40" s="120"/>
      <c r="D40" s="130"/>
      <c r="E40" s="109"/>
      <c r="F40" s="109"/>
      <c r="G40" s="108" t="s">
        <v>16</v>
      </c>
      <c r="H40" s="109"/>
      <c r="I40" s="110"/>
      <c r="J40" s="125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AB40" s="46"/>
      <c r="AC40" s="44"/>
      <c r="AD40" s="46"/>
      <c r="AE40" s="44"/>
      <c r="AF40" s="44"/>
      <c r="AG40" s="44"/>
    </row>
    <row r="41" spans="1:33" ht="12" customHeight="1">
      <c r="A41" s="119" t="s">
        <v>69</v>
      </c>
      <c r="B41" s="120"/>
      <c r="C41" s="120"/>
      <c r="D41" s="130"/>
      <c r="E41" s="109"/>
      <c r="F41" s="109"/>
      <c r="G41" s="108" t="s">
        <v>16</v>
      </c>
      <c r="H41" s="109"/>
      <c r="I41" s="110"/>
      <c r="J41" s="125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AB41" s="46"/>
      <c r="AC41" s="44"/>
      <c r="AD41" s="46"/>
      <c r="AE41" s="44"/>
      <c r="AF41" s="44"/>
      <c r="AG41" s="44"/>
    </row>
    <row r="42" spans="1:33" ht="12" customHeight="1">
      <c r="A42" s="119" t="s">
        <v>38</v>
      </c>
      <c r="B42" s="120"/>
      <c r="C42" s="120"/>
      <c r="D42" s="130" t="s">
        <v>70</v>
      </c>
      <c r="E42" s="109"/>
      <c r="F42" s="109"/>
      <c r="G42" s="108" t="s">
        <v>61</v>
      </c>
      <c r="H42" s="109"/>
      <c r="I42" s="110"/>
      <c r="J42" s="125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AB42" s="46"/>
      <c r="AC42" s="44"/>
      <c r="AD42" s="46"/>
      <c r="AE42" s="44"/>
      <c r="AF42" s="44"/>
      <c r="AG42" s="44"/>
    </row>
    <row r="43" spans="1:33" ht="12" customHeight="1">
      <c r="A43" s="119" t="s">
        <v>71</v>
      </c>
      <c r="B43" s="120"/>
      <c r="C43" s="120"/>
      <c r="D43" s="130" t="s">
        <v>63</v>
      </c>
      <c r="E43" s="109"/>
      <c r="F43" s="109"/>
      <c r="G43" s="108" t="s">
        <v>61</v>
      </c>
      <c r="H43" s="109"/>
      <c r="I43" s="110"/>
      <c r="J43" s="125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AB43" s="46"/>
      <c r="AC43" s="44"/>
      <c r="AD43" s="46"/>
      <c r="AE43" s="44"/>
      <c r="AF43" s="44"/>
      <c r="AG43" s="44"/>
    </row>
    <row r="44" spans="1:33" ht="12" customHeight="1">
      <c r="A44" s="119" t="s">
        <v>72</v>
      </c>
      <c r="B44" s="120"/>
      <c r="C44" s="120"/>
      <c r="D44" s="130" t="s">
        <v>60</v>
      </c>
      <c r="E44" s="109"/>
      <c r="F44" s="109"/>
      <c r="G44" s="108" t="s">
        <v>61</v>
      </c>
      <c r="H44" s="109"/>
      <c r="I44" s="110"/>
      <c r="J44" s="125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AB44" s="46"/>
      <c r="AC44" s="44"/>
      <c r="AD44" s="46"/>
      <c r="AE44" s="44"/>
      <c r="AF44" s="44"/>
      <c r="AG44" s="44"/>
    </row>
    <row r="45" spans="1:33" ht="10.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4"/>
      <c r="O45" s="4"/>
      <c r="P45" s="13"/>
      <c r="Q45" s="13"/>
      <c r="R45" s="14"/>
      <c r="S45" s="14"/>
      <c r="T45" s="14"/>
      <c r="U45" s="13"/>
      <c r="V45" s="13"/>
      <c r="W45" s="13"/>
      <c r="X45" s="13"/>
      <c r="Y45" s="13"/>
      <c r="AB45" s="46"/>
      <c r="AC45" s="44"/>
      <c r="AD45" s="46"/>
      <c r="AE45" s="44"/>
      <c r="AF45" s="44"/>
      <c r="AG45" s="44"/>
    </row>
    <row r="46" spans="1:33" ht="15" customHeight="1">
      <c r="A46" s="65" t="s">
        <v>73</v>
      </c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7"/>
      <c r="O46" s="67"/>
      <c r="P46" s="66"/>
      <c r="Q46" s="66"/>
      <c r="R46" s="68"/>
      <c r="S46" s="68"/>
      <c r="T46" s="68"/>
      <c r="U46" s="66"/>
      <c r="V46" s="66"/>
      <c r="W46" s="66"/>
      <c r="X46" s="66"/>
      <c r="Y46" s="66"/>
      <c r="AB46" s="46"/>
      <c r="AC46" s="44"/>
      <c r="AD46" s="46"/>
      <c r="AE46" s="44"/>
      <c r="AF46" s="44"/>
      <c r="AG46" s="44"/>
    </row>
    <row r="47" spans="1:33" ht="5.0999999999999996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4"/>
      <c r="O47" s="4"/>
      <c r="P47" s="13"/>
      <c r="Q47" s="13"/>
      <c r="R47" s="14"/>
      <c r="S47" s="14"/>
      <c r="T47" s="14"/>
      <c r="U47" s="13"/>
      <c r="V47" s="13"/>
      <c r="W47" s="13"/>
      <c r="X47" s="13"/>
      <c r="Y47" s="13"/>
      <c r="AB47" s="46"/>
      <c r="AC47" s="44"/>
      <c r="AD47" s="46"/>
      <c r="AE47" s="44"/>
      <c r="AF47" s="44"/>
      <c r="AG47" s="44"/>
    </row>
    <row r="48" spans="1:33" ht="12" customHeight="1">
      <c r="A48" s="117" t="s">
        <v>74</v>
      </c>
      <c r="B48" s="118"/>
      <c r="C48" s="118"/>
      <c r="D48" s="118"/>
      <c r="E48" s="156" t="s">
        <v>75</v>
      </c>
      <c r="F48" s="103"/>
      <c r="G48" s="103"/>
      <c r="H48" s="103"/>
      <c r="I48" s="117" t="s">
        <v>76</v>
      </c>
      <c r="J48" s="118"/>
      <c r="K48" s="118"/>
      <c r="L48" s="156" t="s">
        <v>77</v>
      </c>
      <c r="M48" s="103"/>
      <c r="N48" s="103"/>
      <c r="O48" s="103"/>
      <c r="P48" s="103"/>
      <c r="Q48" s="103"/>
      <c r="R48" s="103"/>
      <c r="S48" s="103"/>
      <c r="T48" s="117" t="s">
        <v>78</v>
      </c>
      <c r="U48" s="118"/>
      <c r="V48" s="118"/>
      <c r="W48" s="156" t="s">
        <v>79</v>
      </c>
      <c r="X48" s="103"/>
      <c r="Y48" s="13"/>
      <c r="AB48" s="46"/>
      <c r="AC48" s="44"/>
      <c r="AD48" s="46"/>
      <c r="AE48" s="44"/>
      <c r="AF48" s="44"/>
      <c r="AG48" s="44"/>
    </row>
    <row r="49" spans="1:33" ht="12" customHeight="1">
      <c r="A49" s="117" t="s">
        <v>80</v>
      </c>
      <c r="B49" s="118"/>
      <c r="C49" s="118"/>
      <c r="D49" s="118"/>
      <c r="E49" s="118"/>
      <c r="F49" s="118"/>
      <c r="G49" s="192" t="s">
        <v>81</v>
      </c>
      <c r="H49" s="129"/>
      <c r="I49" s="129"/>
      <c r="J49" s="8">
        <v>0</v>
      </c>
      <c r="K49" s="13"/>
      <c r="L49" s="192" t="s">
        <v>82</v>
      </c>
      <c r="M49" s="129"/>
      <c r="N49" s="129"/>
      <c r="O49" s="6">
        <v>0.65</v>
      </c>
      <c r="P49" s="13"/>
      <c r="Q49" s="192" t="s">
        <v>83</v>
      </c>
      <c r="R49" s="129"/>
      <c r="S49" s="6">
        <v>1.5</v>
      </c>
      <c r="T49" s="25"/>
      <c r="U49" s="203" t="s">
        <v>84</v>
      </c>
      <c r="V49" s="118"/>
      <c r="W49" s="8" t="s">
        <v>85</v>
      </c>
      <c r="X49" s="13"/>
      <c r="Y49" s="13"/>
      <c r="AB49" s="46"/>
      <c r="AC49" s="44"/>
      <c r="AD49" s="46"/>
      <c r="AE49" s="44"/>
      <c r="AF49" s="44"/>
      <c r="AG49" s="44"/>
    </row>
    <row r="50" spans="1:33" ht="12" customHeight="1">
      <c r="A50" s="117" t="s">
        <v>86</v>
      </c>
      <c r="B50" s="118"/>
      <c r="C50" s="118"/>
      <c r="D50" s="118"/>
      <c r="E50" s="155">
        <v>500</v>
      </c>
      <c r="F50" s="103"/>
      <c r="G50" s="103"/>
      <c r="H50" s="103"/>
      <c r="I50" s="13"/>
      <c r="J50" s="13"/>
      <c r="K50" s="203" t="s">
        <v>87</v>
      </c>
      <c r="L50" s="118"/>
      <c r="M50" s="118"/>
      <c r="N50" s="118"/>
      <c r="O50" s="155">
        <v>10</v>
      </c>
      <c r="P50" s="103"/>
      <c r="Q50" s="103"/>
      <c r="R50" s="103"/>
      <c r="S50" s="26"/>
      <c r="T50" s="26"/>
      <c r="U50" s="13"/>
      <c r="V50" s="13"/>
      <c r="W50" s="13"/>
      <c r="X50" s="13"/>
      <c r="Y50" s="13"/>
      <c r="AB50" s="46"/>
      <c r="AC50" s="44"/>
      <c r="AD50" s="46"/>
      <c r="AE50" s="44"/>
      <c r="AF50" s="44"/>
      <c r="AG50" s="44"/>
    </row>
    <row r="51" spans="1:33" ht="12" customHeight="1">
      <c r="A51" s="117" t="s">
        <v>88</v>
      </c>
      <c r="B51" s="118"/>
      <c r="C51" s="118"/>
      <c r="D51" s="118"/>
      <c r="E51" s="146" t="s">
        <v>89</v>
      </c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35" t="s">
        <v>46</v>
      </c>
      <c r="AA51" s="46"/>
      <c r="AB51" s="46"/>
      <c r="AC51" s="44"/>
      <c r="AD51" s="46"/>
      <c r="AE51" s="44"/>
      <c r="AF51" s="44"/>
      <c r="AG51" s="44"/>
    </row>
    <row r="52" spans="1:33" ht="12" hidden="1" customHeight="1">
      <c r="A52" s="117"/>
      <c r="B52" s="118"/>
      <c r="C52" s="118"/>
      <c r="D52" s="118"/>
      <c r="E52" s="146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AB52" s="42">
        <v>2</v>
      </c>
      <c r="AC52" s="44"/>
      <c r="AD52" s="46"/>
      <c r="AE52" s="44"/>
      <c r="AF52" s="44"/>
      <c r="AG52" s="44"/>
    </row>
    <row r="53" spans="1:33" ht="10.95" customHeight="1" thickBot="1">
      <c r="A53" s="23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7"/>
      <c r="N53" s="27"/>
      <c r="O53" s="5"/>
      <c r="P53" s="5"/>
      <c r="Q53" s="5"/>
      <c r="R53" s="5"/>
      <c r="S53" s="28"/>
      <c r="T53" s="28"/>
      <c r="U53" s="5"/>
      <c r="V53" s="5"/>
      <c r="W53" s="5"/>
      <c r="X53" s="5"/>
      <c r="Y53" s="5"/>
      <c r="AC53" s="44"/>
      <c r="AD53" s="46"/>
      <c r="AE53" s="44"/>
      <c r="AF53" s="44"/>
      <c r="AG53" s="44"/>
    </row>
    <row r="54" spans="1:33" ht="11.55" customHeight="1" thickTop="1" thickBot="1">
      <c r="A54" s="5" t="s">
        <v>90</v>
      </c>
      <c r="B54" s="221" t="s">
        <v>91</v>
      </c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74" t="s">
        <v>92</v>
      </c>
      <c r="S54" s="175"/>
      <c r="T54" s="174" t="s">
        <v>93</v>
      </c>
      <c r="U54" s="175"/>
      <c r="V54" s="174" t="s">
        <v>94</v>
      </c>
      <c r="W54" s="175"/>
      <c r="X54" s="174" t="s">
        <v>95</v>
      </c>
      <c r="Y54" s="175"/>
      <c r="AC54" s="44"/>
      <c r="AD54" s="46"/>
      <c r="AE54" s="44"/>
      <c r="AF54" s="44"/>
      <c r="AG54" s="44"/>
    </row>
    <row r="55" spans="1:33" ht="3" customHeight="1" thickTop="1">
      <c r="A55" s="1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4"/>
      <c r="S55" s="4"/>
      <c r="T55" s="4"/>
      <c r="U55" s="4"/>
      <c r="V55" s="4"/>
      <c r="W55" s="4"/>
      <c r="X55" s="4"/>
      <c r="Y55" s="4"/>
      <c r="AC55" s="44"/>
      <c r="AD55" s="46"/>
      <c r="AE55" s="44"/>
      <c r="AF55" s="44"/>
      <c r="AG55" s="44"/>
    </row>
    <row r="56" spans="1:33" ht="12" customHeight="1">
      <c r="A56" s="38">
        <v>1</v>
      </c>
      <c r="B56" s="148" t="s">
        <v>96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10"/>
      <c r="R56" s="113"/>
      <c r="S56" s="110"/>
      <c r="T56" s="113"/>
      <c r="U56" s="110"/>
      <c r="V56" s="113">
        <v>1</v>
      </c>
      <c r="W56" s="110"/>
      <c r="X56" s="113">
        <v>1</v>
      </c>
      <c r="Y56" s="110"/>
      <c r="AC56" s="44"/>
      <c r="AD56" s="46"/>
      <c r="AE56" s="44"/>
      <c r="AF56" s="44"/>
      <c r="AG56" s="44"/>
    </row>
    <row r="57" spans="1:33" ht="12" customHeight="1">
      <c r="A57" s="38">
        <v>2</v>
      </c>
      <c r="B57" s="148" t="s">
        <v>97</v>
      </c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10"/>
      <c r="R57" s="113"/>
      <c r="S57" s="110"/>
      <c r="T57" s="113"/>
      <c r="U57" s="110"/>
      <c r="V57" s="113"/>
      <c r="W57" s="110"/>
      <c r="X57" s="113">
        <v>3</v>
      </c>
      <c r="Y57" s="110"/>
      <c r="Z57" s="35" t="s">
        <v>46</v>
      </c>
      <c r="AA57" s="43"/>
      <c r="AB57" s="43"/>
      <c r="AC57" s="62"/>
      <c r="AD57" s="46"/>
      <c r="AE57" s="44"/>
      <c r="AF57" s="44"/>
      <c r="AG57" s="44"/>
    </row>
    <row r="58" spans="1:33" ht="12" customHeight="1">
      <c r="A58" s="38">
        <v>3</v>
      </c>
      <c r="B58" s="148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10"/>
      <c r="R58" s="113"/>
      <c r="S58" s="110"/>
      <c r="T58" s="113"/>
      <c r="U58" s="110"/>
      <c r="V58" s="113"/>
      <c r="W58" s="110"/>
      <c r="X58" s="113"/>
      <c r="Y58" s="110"/>
      <c r="AC58" s="42">
        <v>3</v>
      </c>
      <c r="AD58" s="46"/>
      <c r="AE58" s="44"/>
      <c r="AF58" s="44"/>
      <c r="AG58" s="44"/>
    </row>
    <row r="59" spans="1:33" ht="12" customHeight="1">
      <c r="A59" s="38">
        <v>4</v>
      </c>
      <c r="B59" s="148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10"/>
      <c r="R59" s="113"/>
      <c r="S59" s="110"/>
      <c r="T59" s="113"/>
      <c r="U59" s="110"/>
      <c r="V59" s="113"/>
      <c r="W59" s="110"/>
      <c r="X59" s="113"/>
      <c r="Y59" s="110"/>
      <c r="AC59" s="42">
        <v>4</v>
      </c>
      <c r="AD59" s="46"/>
      <c r="AE59" s="44"/>
      <c r="AF59" s="44"/>
      <c r="AG59" s="44"/>
    </row>
    <row r="60" spans="1:33" ht="12" customHeight="1">
      <c r="A60" s="38">
        <v>5</v>
      </c>
      <c r="B60" s="148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10"/>
      <c r="R60" s="113"/>
      <c r="S60" s="110"/>
      <c r="T60" s="113"/>
      <c r="U60" s="110"/>
      <c r="V60" s="113"/>
      <c r="W60" s="110"/>
      <c r="X60" s="113"/>
      <c r="Y60" s="110"/>
      <c r="Z60" s="11"/>
      <c r="AA60" s="11"/>
      <c r="AB60" s="11"/>
      <c r="AC60" s="42">
        <v>5</v>
      </c>
      <c r="AD60" s="46"/>
      <c r="AE60" s="44"/>
      <c r="AF60" s="44"/>
      <c r="AG60" s="44"/>
    </row>
    <row r="61" spans="1:33" ht="12" customHeight="1">
      <c r="A61" s="38">
        <v>6</v>
      </c>
      <c r="B61" s="148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10"/>
      <c r="R61" s="113"/>
      <c r="S61" s="110"/>
      <c r="T61" s="113"/>
      <c r="U61" s="110"/>
      <c r="V61" s="113"/>
      <c r="W61" s="110"/>
      <c r="X61" s="113"/>
      <c r="Y61" s="110"/>
      <c r="AC61" s="42">
        <v>6</v>
      </c>
      <c r="AD61" s="46"/>
      <c r="AE61" s="44"/>
      <c r="AF61" s="44"/>
      <c r="AG61" s="44"/>
    </row>
    <row r="62" spans="1:33" ht="12" customHeight="1">
      <c r="A62" s="38">
        <v>7</v>
      </c>
      <c r="B62" s="148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10"/>
      <c r="R62" s="113"/>
      <c r="S62" s="110"/>
      <c r="T62" s="113"/>
      <c r="U62" s="110"/>
      <c r="V62" s="113"/>
      <c r="W62" s="110"/>
      <c r="X62" s="113"/>
      <c r="Y62" s="110"/>
      <c r="AC62" s="42">
        <v>7</v>
      </c>
      <c r="AD62" s="46"/>
      <c r="AE62" s="44"/>
      <c r="AF62" s="44"/>
      <c r="AG62" s="44"/>
    </row>
    <row r="63" spans="1:33" ht="12" hidden="1" customHeight="1">
      <c r="A63" s="38">
        <v>8</v>
      </c>
      <c r="B63" s="148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10"/>
      <c r="R63" s="113"/>
      <c r="S63" s="110"/>
      <c r="T63" s="113"/>
      <c r="U63" s="110"/>
      <c r="V63" s="113"/>
      <c r="W63" s="110"/>
      <c r="X63" s="113"/>
      <c r="Y63" s="110"/>
      <c r="AC63" s="42">
        <v>8</v>
      </c>
      <c r="AD63" s="46"/>
      <c r="AE63" s="44"/>
      <c r="AF63" s="44"/>
      <c r="AG63" s="44"/>
    </row>
    <row r="64" spans="1:33" ht="12" hidden="1" customHeight="1">
      <c r="A64" s="38">
        <v>9</v>
      </c>
      <c r="B64" s="148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10"/>
      <c r="R64" s="113"/>
      <c r="S64" s="110"/>
      <c r="T64" s="113"/>
      <c r="U64" s="110"/>
      <c r="V64" s="113"/>
      <c r="W64" s="110"/>
      <c r="X64" s="113"/>
      <c r="Y64" s="110"/>
      <c r="AC64" s="42">
        <v>9</v>
      </c>
      <c r="AD64" s="46"/>
      <c r="AE64" s="44"/>
      <c r="AF64" s="44"/>
      <c r="AG64" s="44"/>
    </row>
    <row r="65" spans="1:33" ht="12" hidden="1" customHeight="1">
      <c r="A65" s="38">
        <v>10</v>
      </c>
      <c r="B65" s="148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10"/>
      <c r="R65" s="113"/>
      <c r="S65" s="110"/>
      <c r="T65" s="113"/>
      <c r="U65" s="110"/>
      <c r="V65" s="113"/>
      <c r="W65" s="110"/>
      <c r="X65" s="113"/>
      <c r="Y65" s="110"/>
      <c r="AC65" s="42">
        <v>10</v>
      </c>
      <c r="AD65" s="46"/>
      <c r="AE65" s="44"/>
      <c r="AF65" s="44"/>
      <c r="AG65" s="44"/>
    </row>
    <row r="66" spans="1:33" ht="12" hidden="1" customHeight="1">
      <c r="A66" s="38">
        <v>11</v>
      </c>
      <c r="B66" s="148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10"/>
      <c r="R66" s="113"/>
      <c r="S66" s="110"/>
      <c r="T66" s="113"/>
      <c r="U66" s="110"/>
      <c r="V66" s="113"/>
      <c r="W66" s="110"/>
      <c r="X66" s="113"/>
      <c r="Y66" s="110"/>
      <c r="AC66" s="42">
        <v>11</v>
      </c>
      <c r="AD66" s="46"/>
      <c r="AE66" s="44"/>
      <c r="AF66" s="44"/>
      <c r="AG66" s="44"/>
    </row>
    <row r="67" spans="1:33" ht="12" hidden="1" customHeight="1">
      <c r="A67" s="38">
        <v>12</v>
      </c>
      <c r="B67" s="148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10"/>
      <c r="R67" s="113"/>
      <c r="S67" s="110"/>
      <c r="T67" s="113"/>
      <c r="U67" s="110"/>
      <c r="V67" s="113"/>
      <c r="W67" s="110"/>
      <c r="X67" s="113"/>
      <c r="Y67" s="110"/>
      <c r="AC67" s="42">
        <v>12</v>
      </c>
      <c r="AD67" s="46"/>
      <c r="AE67" s="44"/>
      <c r="AF67" s="44"/>
      <c r="AG67" s="44"/>
    </row>
    <row r="68" spans="1:33" ht="12" hidden="1" customHeight="1">
      <c r="A68" s="38">
        <v>13</v>
      </c>
      <c r="B68" s="148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10"/>
      <c r="R68" s="113"/>
      <c r="S68" s="110"/>
      <c r="T68" s="113"/>
      <c r="U68" s="110"/>
      <c r="V68" s="113"/>
      <c r="W68" s="110"/>
      <c r="X68" s="113"/>
      <c r="Y68" s="110"/>
      <c r="AC68" s="42">
        <v>13</v>
      </c>
      <c r="AD68" s="46"/>
      <c r="AE68" s="44"/>
      <c r="AF68" s="44"/>
      <c r="AG68" s="44"/>
    </row>
    <row r="69" spans="1:33" ht="12" hidden="1" customHeight="1">
      <c r="A69" s="38">
        <v>14</v>
      </c>
      <c r="B69" s="148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10"/>
      <c r="R69" s="113"/>
      <c r="S69" s="110"/>
      <c r="T69" s="113"/>
      <c r="U69" s="110"/>
      <c r="V69" s="113"/>
      <c r="W69" s="110"/>
      <c r="X69" s="113"/>
      <c r="Y69" s="110"/>
      <c r="AC69" s="42">
        <v>14</v>
      </c>
      <c r="AD69" s="46"/>
      <c r="AE69" s="44"/>
      <c r="AF69" s="44"/>
      <c r="AG69" s="44"/>
    </row>
    <row r="70" spans="1:33" ht="12" hidden="1" customHeight="1">
      <c r="A70" s="38">
        <v>15</v>
      </c>
      <c r="B70" s="148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10"/>
      <c r="R70" s="113"/>
      <c r="S70" s="110"/>
      <c r="T70" s="113"/>
      <c r="U70" s="110"/>
      <c r="V70" s="113"/>
      <c r="W70" s="110"/>
      <c r="X70" s="113"/>
      <c r="Y70" s="110"/>
      <c r="AC70" s="42">
        <v>15</v>
      </c>
      <c r="AD70" s="46"/>
      <c r="AE70" s="44"/>
      <c r="AF70" s="44"/>
      <c r="AG70" s="44"/>
    </row>
    <row r="71" spans="1:33" ht="12" hidden="1" customHeight="1">
      <c r="A71" s="38">
        <v>16</v>
      </c>
      <c r="B71" s="148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10"/>
      <c r="R71" s="113"/>
      <c r="S71" s="110"/>
      <c r="T71" s="113"/>
      <c r="U71" s="110"/>
      <c r="V71" s="113"/>
      <c r="W71" s="110"/>
      <c r="X71" s="113"/>
      <c r="Y71" s="110"/>
      <c r="AC71" s="42">
        <v>16</v>
      </c>
      <c r="AD71" s="46"/>
      <c r="AE71" s="44"/>
      <c r="AF71" s="44"/>
      <c r="AG71" s="44"/>
    </row>
    <row r="72" spans="1:33" ht="12" hidden="1" customHeight="1">
      <c r="A72" s="38">
        <v>17</v>
      </c>
      <c r="B72" s="148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10"/>
      <c r="R72" s="113"/>
      <c r="S72" s="110"/>
      <c r="T72" s="113"/>
      <c r="U72" s="110"/>
      <c r="V72" s="113"/>
      <c r="W72" s="110"/>
      <c r="X72" s="113"/>
      <c r="Y72" s="110"/>
      <c r="AC72" s="42">
        <v>17</v>
      </c>
      <c r="AD72" s="46"/>
      <c r="AE72" s="44"/>
      <c r="AF72" s="44"/>
      <c r="AG72" s="44"/>
    </row>
    <row r="73" spans="1:33" ht="12" hidden="1" customHeight="1">
      <c r="A73" s="38">
        <v>18</v>
      </c>
      <c r="B73" s="148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10"/>
      <c r="R73" s="113"/>
      <c r="S73" s="110"/>
      <c r="T73" s="113"/>
      <c r="U73" s="110"/>
      <c r="V73" s="113"/>
      <c r="W73" s="110"/>
      <c r="X73" s="113"/>
      <c r="Y73" s="110"/>
      <c r="AC73" s="42">
        <v>18</v>
      </c>
      <c r="AD73" s="46"/>
      <c r="AE73" s="44"/>
      <c r="AF73" s="73"/>
      <c r="AG73" s="73"/>
    </row>
    <row r="74" spans="1:33" ht="12" hidden="1" customHeight="1">
      <c r="A74" s="38">
        <v>19</v>
      </c>
      <c r="B74" s="148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10"/>
      <c r="R74" s="113"/>
      <c r="S74" s="110"/>
      <c r="T74" s="113"/>
      <c r="U74" s="110"/>
      <c r="V74" s="113"/>
      <c r="W74" s="110"/>
      <c r="X74" s="113"/>
      <c r="Y74" s="110"/>
      <c r="AC74" s="42">
        <v>19</v>
      </c>
      <c r="AD74" s="46"/>
      <c r="AE74" s="44"/>
      <c r="AF74" s="44"/>
      <c r="AG74" s="44"/>
    </row>
    <row r="75" spans="1:33" ht="12" hidden="1" customHeight="1">
      <c r="A75" s="38">
        <v>20</v>
      </c>
      <c r="B75" s="148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10"/>
      <c r="R75" s="113"/>
      <c r="S75" s="110"/>
      <c r="T75" s="113"/>
      <c r="U75" s="110"/>
      <c r="V75" s="113"/>
      <c r="W75" s="110"/>
      <c r="X75" s="113"/>
      <c r="Y75" s="110"/>
      <c r="AC75" s="42">
        <v>20</v>
      </c>
      <c r="AD75" s="46"/>
      <c r="AE75" s="44"/>
      <c r="AF75" s="73"/>
      <c r="AG75" s="73"/>
    </row>
    <row r="76" spans="1:33" ht="12" customHeight="1">
      <c r="A76" s="13"/>
      <c r="B76" s="154" t="s">
        <v>98</v>
      </c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69" t="str">
        <f>IF(COUNT(R56:S75),SUM(R56:S75),"")</f>
        <v/>
      </c>
      <c r="S76" s="170"/>
      <c r="T76" s="121" t="str">
        <f>IF(COUNT(T56:U75),SUM(T56:U75),"")</f>
        <v/>
      </c>
      <c r="U76" s="122"/>
      <c r="V76" s="121">
        <f>IF(COUNT(V56:W75),SUM(V56:W75),"")</f>
        <v>1</v>
      </c>
      <c r="W76" s="122"/>
      <c r="X76" s="121">
        <f>IF(COUNT(X56:Y75),SUM(X56:Y75),"")</f>
        <v>4</v>
      </c>
      <c r="Y76" s="122"/>
      <c r="AD76" s="46"/>
      <c r="AE76" s="44"/>
      <c r="AF76" s="44"/>
      <c r="AG76" s="44"/>
    </row>
    <row r="77" spans="1:33" ht="12" customHeight="1">
      <c r="A77" s="154" t="s">
        <v>99</v>
      </c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71">
        <v>0</v>
      </c>
      <c r="S77" s="139"/>
      <c r="T77" s="138">
        <v>7</v>
      </c>
      <c r="U77" s="139"/>
      <c r="V77" s="138">
        <v>14</v>
      </c>
      <c r="W77" s="139"/>
      <c r="X77" s="138">
        <v>21</v>
      </c>
      <c r="Y77" s="139"/>
      <c r="AD77" s="46"/>
      <c r="AE77" s="44"/>
      <c r="AF77" s="44"/>
      <c r="AG77" s="44"/>
    </row>
    <row r="78" spans="1:33" ht="10.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4"/>
      <c r="N78" s="18"/>
      <c r="O78" s="4"/>
      <c r="P78" s="18"/>
      <c r="Q78" s="4"/>
      <c r="R78" s="3"/>
      <c r="S78" s="13"/>
      <c r="T78" s="13"/>
      <c r="U78" s="13"/>
      <c r="V78" s="13"/>
      <c r="W78" s="13"/>
      <c r="X78" s="13"/>
      <c r="Y78" s="13"/>
      <c r="AD78" s="46"/>
      <c r="AE78" s="44"/>
      <c r="AF78" s="44"/>
      <c r="AG78" s="44"/>
    </row>
    <row r="79" spans="1:33" ht="2.1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7"/>
      <c r="N79" s="70"/>
      <c r="O79" s="67"/>
      <c r="P79" s="70"/>
      <c r="Q79" s="67"/>
      <c r="R79" s="71"/>
      <c r="S79" s="66"/>
      <c r="T79" s="66"/>
      <c r="U79" s="66"/>
      <c r="V79" s="66"/>
      <c r="W79" s="66"/>
      <c r="X79" s="66"/>
      <c r="Y79" s="66"/>
      <c r="AD79" s="46"/>
      <c r="AE79" s="44"/>
      <c r="AF79" s="44"/>
      <c r="AG79" s="44"/>
    </row>
    <row r="80" spans="1:33" ht="12" customHeight="1">
      <c r="A80" s="65" t="s">
        <v>100</v>
      </c>
      <c r="B80" s="66"/>
      <c r="C80" s="66"/>
      <c r="D80" s="66"/>
      <c r="E80" s="215" t="s">
        <v>101</v>
      </c>
      <c r="F80" s="103"/>
      <c r="G80" s="103"/>
      <c r="H80" s="66"/>
      <c r="I80" s="66"/>
      <c r="J80" s="66"/>
      <c r="K80" s="69"/>
      <c r="L80" s="66"/>
      <c r="M80" s="67"/>
      <c r="N80" s="70"/>
      <c r="O80" s="67"/>
      <c r="P80" s="70"/>
      <c r="Q80" s="67"/>
      <c r="R80" s="71"/>
      <c r="S80" s="66"/>
      <c r="T80" s="66"/>
      <c r="U80" s="66"/>
      <c r="V80" s="66"/>
      <c r="W80" s="66"/>
      <c r="X80" s="66"/>
      <c r="Y80" s="66"/>
      <c r="AD80" s="46"/>
      <c r="AE80" s="44"/>
      <c r="AF80" s="44"/>
      <c r="AG80" s="44"/>
    </row>
    <row r="81" spans="1:33" ht="2.1" customHeight="1">
      <c r="A81" s="65"/>
      <c r="B81" s="66"/>
      <c r="C81" s="66"/>
      <c r="D81" s="66"/>
      <c r="E81" s="80"/>
      <c r="F81" s="80"/>
      <c r="G81" s="80"/>
      <c r="H81" s="66"/>
      <c r="I81" s="66"/>
      <c r="J81" s="66"/>
      <c r="K81" s="69"/>
      <c r="L81" s="66"/>
      <c r="M81" s="67"/>
      <c r="N81" s="70"/>
      <c r="O81" s="67"/>
      <c r="P81" s="70"/>
      <c r="Q81" s="67"/>
      <c r="R81" s="71"/>
      <c r="S81" s="66"/>
      <c r="T81" s="66"/>
      <c r="U81" s="66"/>
      <c r="V81" s="66"/>
      <c r="W81" s="66"/>
      <c r="X81" s="66"/>
      <c r="Y81" s="66"/>
      <c r="AD81" s="46"/>
      <c r="AE81" s="44"/>
      <c r="AF81" s="44"/>
      <c r="AG81" s="44"/>
    </row>
    <row r="82" spans="1:33" ht="5.0999999999999996" customHeight="1" thickBot="1">
      <c r="A82" s="13"/>
      <c r="B82" s="13"/>
      <c r="C82" s="13"/>
      <c r="D82" s="13"/>
      <c r="E82" s="13"/>
      <c r="F82" s="13"/>
      <c r="G82" s="13"/>
      <c r="H82" s="13"/>
      <c r="I82" s="13"/>
      <c r="J82" s="5"/>
      <c r="K82" s="5"/>
      <c r="L82" s="5"/>
      <c r="M82" s="7"/>
      <c r="N82" s="29"/>
      <c r="O82" s="7"/>
      <c r="P82" s="29"/>
      <c r="Q82" s="7"/>
      <c r="R82" s="30"/>
      <c r="S82" s="5"/>
      <c r="T82" s="5"/>
      <c r="U82" s="5"/>
      <c r="V82" s="5"/>
      <c r="W82" s="5"/>
      <c r="X82" s="5"/>
      <c r="Y82" s="5"/>
      <c r="AD82" s="46"/>
      <c r="AE82" s="44"/>
      <c r="AF82" s="44"/>
      <c r="AG82" s="44"/>
    </row>
    <row r="83" spans="1:33" ht="10.95" customHeight="1" thickTop="1">
      <c r="A83" s="226" t="s">
        <v>102</v>
      </c>
      <c r="B83" s="159"/>
      <c r="C83" s="159"/>
      <c r="D83" s="226" t="s">
        <v>1229</v>
      </c>
      <c r="E83" s="159"/>
      <c r="F83" s="159"/>
      <c r="G83" s="158" t="s">
        <v>104</v>
      </c>
      <c r="H83" s="159"/>
      <c r="I83" s="160"/>
      <c r="J83" s="193" t="s">
        <v>105</v>
      </c>
      <c r="K83" s="194"/>
      <c r="L83" s="194"/>
      <c r="M83" s="194"/>
      <c r="N83" s="194"/>
      <c r="O83" s="194"/>
      <c r="P83" s="194"/>
      <c r="Q83" s="195"/>
      <c r="R83" s="227" t="s">
        <v>106</v>
      </c>
      <c r="S83" s="194"/>
      <c r="T83" s="194"/>
      <c r="U83" s="194"/>
      <c r="V83" s="194"/>
      <c r="W83" s="194"/>
      <c r="X83" s="194"/>
      <c r="Y83" s="194"/>
      <c r="AD83" s="46"/>
      <c r="AE83" s="44"/>
      <c r="AF83" s="44"/>
      <c r="AG83" s="44"/>
    </row>
    <row r="84" spans="1:33" ht="10.95" customHeight="1" thickBot="1">
      <c r="A84" s="161"/>
      <c r="B84" s="161"/>
      <c r="C84" s="161"/>
      <c r="D84" s="161"/>
      <c r="E84" s="161"/>
      <c r="F84" s="161"/>
      <c r="G84" s="161"/>
      <c r="H84" s="161"/>
      <c r="I84" s="122"/>
      <c r="J84" s="181" t="s">
        <v>107</v>
      </c>
      <c r="K84" s="163"/>
      <c r="L84" s="163"/>
      <c r="M84" s="182"/>
      <c r="N84" s="181" t="s">
        <v>108</v>
      </c>
      <c r="O84" s="163"/>
      <c r="P84" s="163"/>
      <c r="Q84" s="182"/>
      <c r="R84" s="181" t="s">
        <v>107</v>
      </c>
      <c r="S84" s="163"/>
      <c r="T84" s="163"/>
      <c r="U84" s="182"/>
      <c r="V84" s="162" t="s">
        <v>108</v>
      </c>
      <c r="W84" s="163"/>
      <c r="X84" s="163"/>
      <c r="Y84" s="163"/>
      <c r="AD84" s="46"/>
      <c r="AE84" s="44"/>
      <c r="AF84" s="44"/>
      <c r="AG84" s="44"/>
    </row>
    <row r="85" spans="1:33" ht="3" customHeight="1" thickTop="1">
      <c r="A85" s="4"/>
      <c r="B85" s="4"/>
      <c r="C85" s="4"/>
      <c r="D85" s="4"/>
      <c r="E85" s="4"/>
      <c r="F85" s="4"/>
      <c r="G85" s="4"/>
      <c r="H85" s="4"/>
      <c r="I85" s="76"/>
      <c r="J85" s="64"/>
      <c r="K85" s="4"/>
      <c r="L85" s="4"/>
      <c r="M85" s="76"/>
      <c r="N85" s="64"/>
      <c r="O85" s="4"/>
      <c r="P85" s="4"/>
      <c r="Q85" s="76"/>
      <c r="R85" s="64"/>
      <c r="S85" s="4"/>
      <c r="T85" s="4"/>
      <c r="U85" s="76"/>
      <c r="V85" s="64"/>
      <c r="W85" s="4"/>
      <c r="X85" s="4"/>
      <c r="Y85" s="4"/>
      <c r="AD85" s="46"/>
      <c r="AE85" s="44"/>
      <c r="AF85" s="44"/>
      <c r="AG85" s="44"/>
    </row>
    <row r="86" spans="1:33" ht="12" customHeight="1">
      <c r="A86" s="172" t="s">
        <v>109</v>
      </c>
      <c r="B86" s="109"/>
      <c r="C86" s="110"/>
      <c r="D86" s="113">
        <v>71662963</v>
      </c>
      <c r="E86" s="109"/>
      <c r="F86" s="110"/>
      <c r="G86" s="124">
        <v>61859</v>
      </c>
      <c r="H86" s="109"/>
      <c r="I86" s="110"/>
      <c r="J86" s="124">
        <v>41466</v>
      </c>
      <c r="K86" s="109"/>
      <c r="L86" s="109"/>
      <c r="M86" s="110"/>
      <c r="N86" s="124">
        <v>8462</v>
      </c>
      <c r="O86" s="109"/>
      <c r="P86" s="109"/>
      <c r="Q86" s="110"/>
      <c r="R86" s="124">
        <v>61</v>
      </c>
      <c r="S86" s="109"/>
      <c r="T86" s="109"/>
      <c r="U86" s="110"/>
      <c r="V86" s="176">
        <v>16</v>
      </c>
      <c r="W86" s="109"/>
      <c r="X86" s="109"/>
      <c r="Y86" s="109"/>
      <c r="Z86" s="35" t="s">
        <v>46</v>
      </c>
      <c r="AA86" s="46"/>
      <c r="AB86" s="46"/>
      <c r="AC86" s="46"/>
      <c r="AD86" s="46"/>
      <c r="AE86" s="44"/>
      <c r="AF86" s="44"/>
      <c r="AG86" s="44"/>
    </row>
    <row r="87" spans="1:33" ht="12" customHeight="1">
      <c r="A87" s="172"/>
      <c r="B87" s="109"/>
      <c r="C87" s="110"/>
      <c r="D87" s="113"/>
      <c r="E87" s="109"/>
      <c r="F87" s="110"/>
      <c r="G87" s="124"/>
      <c r="H87" s="109"/>
      <c r="I87" s="110"/>
      <c r="J87" s="124"/>
      <c r="K87" s="109"/>
      <c r="L87" s="109"/>
      <c r="M87" s="110"/>
      <c r="N87" s="124"/>
      <c r="O87" s="109"/>
      <c r="P87" s="109"/>
      <c r="Q87" s="110"/>
      <c r="R87" s="124"/>
      <c r="S87" s="109"/>
      <c r="T87" s="109"/>
      <c r="U87" s="110"/>
      <c r="V87" s="176"/>
      <c r="W87" s="109"/>
      <c r="X87" s="109"/>
      <c r="Y87" s="109"/>
      <c r="AD87" s="42">
        <v>2</v>
      </c>
      <c r="AE87" s="44"/>
      <c r="AF87" s="44"/>
      <c r="AG87" s="44"/>
    </row>
    <row r="88" spans="1:33" ht="12" hidden="1" customHeight="1">
      <c r="A88" s="172"/>
      <c r="B88" s="109"/>
      <c r="C88" s="110"/>
      <c r="D88" s="113"/>
      <c r="E88" s="109"/>
      <c r="F88" s="110"/>
      <c r="G88" s="124"/>
      <c r="H88" s="109"/>
      <c r="I88" s="110"/>
      <c r="J88" s="124"/>
      <c r="K88" s="109"/>
      <c r="L88" s="109"/>
      <c r="M88" s="110"/>
      <c r="N88" s="124"/>
      <c r="O88" s="109"/>
      <c r="P88" s="109"/>
      <c r="Q88" s="110"/>
      <c r="R88" s="124"/>
      <c r="S88" s="109"/>
      <c r="T88" s="109"/>
      <c r="U88" s="110"/>
      <c r="V88" s="176"/>
      <c r="W88" s="109"/>
      <c r="X88" s="109"/>
      <c r="Y88" s="109"/>
      <c r="AD88" s="42">
        <v>3</v>
      </c>
      <c r="AE88" s="44"/>
      <c r="AF88" s="44"/>
      <c r="AG88" s="44"/>
    </row>
    <row r="89" spans="1:33" ht="12" hidden="1" customHeight="1">
      <c r="A89" s="172"/>
      <c r="B89" s="109"/>
      <c r="C89" s="110"/>
      <c r="D89" s="113"/>
      <c r="E89" s="109"/>
      <c r="F89" s="110"/>
      <c r="G89" s="124"/>
      <c r="H89" s="109"/>
      <c r="I89" s="110"/>
      <c r="J89" s="124"/>
      <c r="K89" s="109"/>
      <c r="L89" s="109"/>
      <c r="M89" s="110"/>
      <c r="N89" s="124"/>
      <c r="O89" s="109"/>
      <c r="P89" s="109"/>
      <c r="Q89" s="110"/>
      <c r="R89" s="124"/>
      <c r="S89" s="109"/>
      <c r="T89" s="109"/>
      <c r="U89" s="110"/>
      <c r="V89" s="176"/>
      <c r="W89" s="109"/>
      <c r="X89" s="109"/>
      <c r="Y89" s="109"/>
      <c r="AD89" s="42">
        <v>4</v>
      </c>
      <c r="AE89" s="44"/>
      <c r="AF89" s="44"/>
      <c r="AG89" s="44"/>
    </row>
    <row r="90" spans="1:33" ht="12" hidden="1" customHeight="1">
      <c r="A90" s="172"/>
      <c r="B90" s="109"/>
      <c r="C90" s="110"/>
      <c r="D90" s="113"/>
      <c r="E90" s="109"/>
      <c r="F90" s="110"/>
      <c r="G90" s="124"/>
      <c r="H90" s="109"/>
      <c r="I90" s="110"/>
      <c r="J90" s="124"/>
      <c r="K90" s="109"/>
      <c r="L90" s="109"/>
      <c r="M90" s="110"/>
      <c r="N90" s="124"/>
      <c r="O90" s="109"/>
      <c r="P90" s="109"/>
      <c r="Q90" s="110"/>
      <c r="R90" s="124"/>
      <c r="S90" s="109"/>
      <c r="T90" s="109"/>
      <c r="U90" s="110"/>
      <c r="V90" s="176"/>
      <c r="W90" s="109"/>
      <c r="X90" s="109"/>
      <c r="Y90" s="109"/>
      <c r="AD90" s="42">
        <v>5</v>
      </c>
      <c r="AE90" s="44"/>
      <c r="AF90" s="44"/>
      <c r="AG90" s="44"/>
    </row>
    <row r="91" spans="1:33" ht="12" hidden="1" customHeight="1">
      <c r="A91" s="172"/>
      <c r="B91" s="109"/>
      <c r="C91" s="110"/>
      <c r="D91" s="113"/>
      <c r="E91" s="109"/>
      <c r="F91" s="110"/>
      <c r="G91" s="124"/>
      <c r="H91" s="109"/>
      <c r="I91" s="110"/>
      <c r="J91" s="124"/>
      <c r="K91" s="109"/>
      <c r="L91" s="109"/>
      <c r="M91" s="110"/>
      <c r="N91" s="124"/>
      <c r="O91" s="109"/>
      <c r="P91" s="109"/>
      <c r="Q91" s="110"/>
      <c r="R91" s="124"/>
      <c r="S91" s="109"/>
      <c r="T91" s="109"/>
      <c r="U91" s="110"/>
      <c r="V91" s="176"/>
      <c r="W91" s="109"/>
      <c r="X91" s="109"/>
      <c r="Y91" s="109"/>
      <c r="AA91" s="79"/>
      <c r="AB91" s="79"/>
      <c r="AC91" s="79"/>
      <c r="AD91" s="79">
        <v>6</v>
      </c>
      <c r="AE91" s="44"/>
      <c r="AF91" s="44"/>
      <c r="AG91" s="44"/>
    </row>
    <row r="92" spans="1:33" ht="12" hidden="1" customHeight="1">
      <c r="A92" s="172"/>
      <c r="B92" s="109"/>
      <c r="C92" s="110"/>
      <c r="D92" s="113"/>
      <c r="E92" s="109"/>
      <c r="F92" s="110"/>
      <c r="G92" s="124"/>
      <c r="H92" s="109"/>
      <c r="I92" s="110"/>
      <c r="J92" s="124"/>
      <c r="K92" s="109"/>
      <c r="L92" s="109"/>
      <c r="M92" s="110"/>
      <c r="N92" s="124"/>
      <c r="O92" s="109"/>
      <c r="P92" s="109"/>
      <c r="Q92" s="110"/>
      <c r="R92" s="124"/>
      <c r="S92" s="109"/>
      <c r="T92" s="109"/>
      <c r="U92" s="110"/>
      <c r="V92" s="176"/>
      <c r="W92" s="109"/>
      <c r="X92" s="109"/>
      <c r="Y92" s="109"/>
      <c r="AD92" s="42">
        <v>7</v>
      </c>
      <c r="AE92" s="44"/>
      <c r="AF92" s="44"/>
      <c r="AG92" s="44"/>
    </row>
    <row r="93" spans="1:33" ht="12" hidden="1" customHeight="1">
      <c r="A93" s="172"/>
      <c r="B93" s="109"/>
      <c r="C93" s="110"/>
      <c r="D93" s="113"/>
      <c r="E93" s="109"/>
      <c r="F93" s="110"/>
      <c r="G93" s="124"/>
      <c r="H93" s="109"/>
      <c r="I93" s="110"/>
      <c r="J93" s="124"/>
      <c r="K93" s="109"/>
      <c r="L93" s="109"/>
      <c r="M93" s="110"/>
      <c r="N93" s="124"/>
      <c r="O93" s="109"/>
      <c r="P93" s="109"/>
      <c r="Q93" s="110"/>
      <c r="R93" s="124"/>
      <c r="S93" s="109"/>
      <c r="T93" s="109"/>
      <c r="U93" s="110"/>
      <c r="V93" s="176"/>
      <c r="W93" s="109"/>
      <c r="X93" s="109"/>
      <c r="Y93" s="109"/>
      <c r="AD93" s="42">
        <v>8</v>
      </c>
      <c r="AE93" s="44"/>
      <c r="AF93" s="44"/>
      <c r="AG93" s="44"/>
    </row>
    <row r="94" spans="1:33" ht="12" hidden="1" customHeight="1">
      <c r="A94" s="172"/>
      <c r="B94" s="109"/>
      <c r="C94" s="110"/>
      <c r="D94" s="113"/>
      <c r="E94" s="109"/>
      <c r="F94" s="110"/>
      <c r="G94" s="124"/>
      <c r="H94" s="109"/>
      <c r="I94" s="110"/>
      <c r="J94" s="124"/>
      <c r="K94" s="109"/>
      <c r="L94" s="109"/>
      <c r="M94" s="110"/>
      <c r="N94" s="124"/>
      <c r="O94" s="109"/>
      <c r="P94" s="109"/>
      <c r="Q94" s="110"/>
      <c r="R94" s="124"/>
      <c r="S94" s="109"/>
      <c r="T94" s="109"/>
      <c r="U94" s="110"/>
      <c r="V94" s="176"/>
      <c r="W94" s="109"/>
      <c r="X94" s="109"/>
      <c r="Y94" s="109"/>
      <c r="AD94" s="42">
        <v>9</v>
      </c>
      <c r="AE94" s="44"/>
      <c r="AF94" s="44"/>
      <c r="AG94" s="44"/>
    </row>
    <row r="95" spans="1:33" ht="12" hidden="1" customHeight="1">
      <c r="A95" s="172"/>
      <c r="B95" s="109"/>
      <c r="C95" s="110"/>
      <c r="D95" s="113"/>
      <c r="E95" s="109"/>
      <c r="F95" s="110"/>
      <c r="G95" s="124"/>
      <c r="H95" s="109"/>
      <c r="I95" s="110"/>
      <c r="J95" s="124"/>
      <c r="K95" s="109"/>
      <c r="L95" s="109"/>
      <c r="M95" s="110"/>
      <c r="N95" s="124"/>
      <c r="O95" s="109"/>
      <c r="P95" s="109"/>
      <c r="Q95" s="110"/>
      <c r="R95" s="124"/>
      <c r="S95" s="109"/>
      <c r="T95" s="109"/>
      <c r="U95" s="110"/>
      <c r="V95" s="176"/>
      <c r="W95" s="109"/>
      <c r="X95" s="109"/>
      <c r="Y95" s="109"/>
      <c r="AD95" s="42">
        <v>10</v>
      </c>
      <c r="AE95" s="44"/>
      <c r="AF95" s="44"/>
      <c r="AG95" s="44"/>
    </row>
    <row r="96" spans="1:33" ht="12" customHeight="1">
      <c r="A96" s="13"/>
      <c r="B96" s="13"/>
      <c r="C96" s="13"/>
      <c r="D96" s="4"/>
      <c r="E96" s="13"/>
      <c r="F96" s="13"/>
      <c r="G96" s="13"/>
      <c r="H96" s="13"/>
      <c r="I96" s="31" t="s">
        <v>110</v>
      </c>
      <c r="J96" s="180">
        <f>IF(COUNT(J86:M95),SUM(J86:M95),"")</f>
        <v>41466</v>
      </c>
      <c r="K96" s="120"/>
      <c r="L96" s="120"/>
      <c r="M96" s="137"/>
      <c r="N96" s="136">
        <f>IF(COUNT(N86:Q95),SUM(N86:Q95),"")</f>
        <v>8462</v>
      </c>
      <c r="O96" s="120"/>
      <c r="P96" s="120"/>
      <c r="Q96" s="137"/>
      <c r="R96" s="136">
        <f>IF(COUNT(R86:U95),SUM(R86:U95),"")</f>
        <v>61</v>
      </c>
      <c r="S96" s="120"/>
      <c r="T96" s="120"/>
      <c r="U96" s="137"/>
      <c r="V96" s="136">
        <f>IF(COUNT(V86:Y95),SUM(V86:Y95),"")</f>
        <v>16</v>
      </c>
      <c r="W96" s="120"/>
      <c r="X96" s="120"/>
      <c r="Y96" s="137"/>
      <c r="AE96" s="44"/>
      <c r="AF96" s="44"/>
      <c r="AG96" s="44"/>
    </row>
    <row r="97" spans="1:33" s="12" customFormat="1" ht="10.5" customHeight="1">
      <c r="A97" s="10"/>
      <c r="B97" s="10"/>
      <c r="C97" s="10"/>
      <c r="D97" s="10"/>
      <c r="E97" s="10"/>
      <c r="F97" s="10"/>
      <c r="G97" s="10"/>
      <c r="H97" s="10"/>
      <c r="I97" s="10"/>
      <c r="J97" s="3"/>
      <c r="K97" s="3"/>
      <c r="L97" s="3"/>
      <c r="M97" s="3"/>
      <c r="N97" s="3"/>
      <c r="O97" s="3"/>
      <c r="P97" s="3"/>
      <c r="Q97" s="3"/>
      <c r="R97" s="4"/>
      <c r="S97" s="4"/>
      <c r="T97" s="4"/>
      <c r="U97" s="4"/>
      <c r="V97" s="4"/>
      <c r="W97" s="4"/>
      <c r="X97" s="4"/>
      <c r="Y97" s="4"/>
      <c r="Z97" s="36"/>
      <c r="AA97" s="42"/>
      <c r="AB97" s="42"/>
      <c r="AC97" s="42"/>
      <c r="AD97" s="42"/>
      <c r="AE97" s="44"/>
      <c r="AF97" s="44"/>
      <c r="AG97" s="44"/>
    </row>
    <row r="98" spans="1:33" ht="15" customHeight="1">
      <c r="A98" s="65" t="s">
        <v>111</v>
      </c>
      <c r="B98" s="66"/>
      <c r="C98" s="66"/>
      <c r="D98" s="66"/>
      <c r="E98" s="66"/>
      <c r="F98" s="66"/>
      <c r="G98" s="66"/>
      <c r="H98" s="66"/>
      <c r="I98" s="66"/>
      <c r="J98" s="66"/>
      <c r="K98" s="65"/>
      <c r="L98" s="66"/>
      <c r="M98" s="66"/>
      <c r="N98" s="67"/>
      <c r="O98" s="67"/>
      <c r="P98" s="66"/>
      <c r="Q98" s="66"/>
      <c r="R98" s="68"/>
      <c r="S98" s="68"/>
      <c r="T98" s="68"/>
      <c r="U98" s="66"/>
      <c r="V98" s="66"/>
      <c r="W98" s="66"/>
      <c r="X98" s="66"/>
      <c r="Y98" s="66"/>
      <c r="AE98" s="44"/>
      <c r="AF98" s="44"/>
      <c r="AG98" s="44"/>
    </row>
    <row r="99" spans="1:33" ht="5.0999999999999996" customHeight="1" thickBot="1">
      <c r="A99" s="15"/>
      <c r="B99" s="13"/>
      <c r="C99" s="13"/>
      <c r="D99" s="13"/>
      <c r="E99" s="13"/>
      <c r="F99" s="13"/>
      <c r="G99" s="13"/>
      <c r="H99" s="13"/>
      <c r="I99" s="13"/>
      <c r="J99" s="13"/>
      <c r="K99" s="15"/>
      <c r="L99" s="13"/>
      <c r="M99" s="13"/>
      <c r="N99" s="4"/>
      <c r="O99" s="4"/>
      <c r="P99" s="13"/>
      <c r="Q99" s="13"/>
      <c r="R99" s="14"/>
      <c r="S99" s="14"/>
      <c r="T99" s="14"/>
      <c r="U99" s="13"/>
      <c r="V99" s="13"/>
      <c r="W99" s="13"/>
      <c r="X99" s="13"/>
      <c r="Y99" s="13"/>
      <c r="AE99" s="44"/>
      <c r="AF99" s="44"/>
      <c r="AG99" s="44"/>
    </row>
    <row r="100" spans="1:33" ht="11.55" customHeight="1" thickTop="1" thickBot="1">
      <c r="A100" s="221" t="s">
        <v>112</v>
      </c>
      <c r="B100" s="150"/>
      <c r="C100" s="150"/>
      <c r="D100" s="150"/>
      <c r="E100" s="150"/>
      <c r="F100" s="150"/>
      <c r="G100" s="150"/>
      <c r="H100" s="150"/>
      <c r="I100" s="150"/>
      <c r="J100" s="149" t="s">
        <v>113</v>
      </c>
      <c r="K100" s="150"/>
      <c r="L100" s="150"/>
      <c r="M100" s="150"/>
      <c r="N100" s="150"/>
      <c r="O100" s="150"/>
      <c r="P100" s="150"/>
      <c r="Q100" s="150"/>
      <c r="R100" s="149" t="s">
        <v>114</v>
      </c>
      <c r="S100" s="150"/>
      <c r="T100" s="150"/>
      <c r="U100" s="150"/>
      <c r="V100" s="150"/>
      <c r="W100" s="150"/>
      <c r="X100" s="150"/>
      <c r="Y100" s="150"/>
      <c r="AE100" s="44"/>
      <c r="AF100" s="44"/>
      <c r="AG100" s="44"/>
    </row>
    <row r="101" spans="1:33" ht="12" customHeight="1" thickTop="1">
      <c r="A101" s="196" t="s">
        <v>115</v>
      </c>
      <c r="B101" s="194"/>
      <c r="C101" s="194"/>
      <c r="D101" s="194"/>
      <c r="E101" s="205" t="s">
        <v>116</v>
      </c>
      <c r="F101" s="206"/>
      <c r="G101" s="206"/>
      <c r="H101" s="206"/>
      <c r="I101" s="207"/>
      <c r="J101" s="198"/>
      <c r="K101" s="199"/>
      <c r="L101" s="199"/>
      <c r="M101" s="199"/>
      <c r="N101" s="199"/>
      <c r="O101" s="199"/>
      <c r="P101" s="199"/>
      <c r="Q101" s="200"/>
      <c r="R101" s="186">
        <v>619</v>
      </c>
      <c r="S101" s="187"/>
      <c r="T101" s="187"/>
      <c r="U101" s="187"/>
      <c r="V101" s="187"/>
      <c r="W101" s="187"/>
      <c r="X101" s="187"/>
      <c r="Y101" s="187"/>
      <c r="AE101" s="44"/>
      <c r="AF101" s="44"/>
      <c r="AG101" s="44"/>
    </row>
    <row r="102" spans="1:33" ht="12" customHeight="1">
      <c r="A102" s="48" t="s">
        <v>117</v>
      </c>
      <c r="B102" s="48"/>
      <c r="C102" s="48"/>
      <c r="D102" s="48"/>
      <c r="E102" s="82"/>
      <c r="F102" s="82"/>
      <c r="G102" s="82"/>
      <c r="H102" s="164" t="s">
        <v>118</v>
      </c>
      <c r="I102" s="161"/>
      <c r="J102" s="131"/>
      <c r="K102" s="132"/>
      <c r="L102" s="9" t="s">
        <v>119</v>
      </c>
      <c r="M102" s="131"/>
      <c r="N102" s="132"/>
      <c r="O102" s="9" t="s">
        <v>119</v>
      </c>
      <c r="P102" s="134"/>
      <c r="Q102" s="135"/>
      <c r="R102" s="131" t="s">
        <v>120</v>
      </c>
      <c r="S102" s="132"/>
      <c r="T102" s="9" t="s">
        <v>119</v>
      </c>
      <c r="U102" s="131" t="s">
        <v>121</v>
      </c>
      <c r="V102" s="132"/>
      <c r="W102" s="9" t="s">
        <v>119</v>
      </c>
      <c r="X102" s="134" t="s">
        <v>122</v>
      </c>
      <c r="Y102" s="135"/>
      <c r="AE102" s="44"/>
      <c r="AF102" s="44"/>
      <c r="AG102" s="44"/>
    </row>
    <row r="103" spans="1:33" ht="12" customHeight="1">
      <c r="A103" s="99" t="s">
        <v>123</v>
      </c>
      <c r="B103" s="100"/>
      <c r="C103" s="100"/>
      <c r="D103" s="100"/>
      <c r="E103" s="100"/>
      <c r="F103" s="100"/>
      <c r="G103" s="100"/>
      <c r="H103" s="173" t="s">
        <v>124</v>
      </c>
      <c r="I103" s="100"/>
      <c r="J103" s="131"/>
      <c r="K103" s="132"/>
      <c r="L103" s="132"/>
      <c r="M103" s="127" t="s">
        <v>125</v>
      </c>
      <c r="N103" s="100"/>
      <c r="O103" s="134"/>
      <c r="P103" s="132"/>
      <c r="Q103" s="135"/>
      <c r="R103" s="131" t="s">
        <v>126</v>
      </c>
      <c r="S103" s="132"/>
      <c r="T103" s="132"/>
      <c r="U103" s="127" t="s">
        <v>125</v>
      </c>
      <c r="V103" s="100"/>
      <c r="W103" s="134" t="s">
        <v>127</v>
      </c>
      <c r="X103" s="132"/>
      <c r="Y103" s="135"/>
      <c r="Z103" s="11"/>
      <c r="AA103" s="11"/>
      <c r="AB103" s="11"/>
      <c r="AC103" s="11"/>
      <c r="AD103" s="11"/>
      <c r="AE103" s="73"/>
      <c r="AF103" s="44"/>
      <c r="AG103" s="44"/>
    </row>
    <row r="104" spans="1:33" s="12" customFormat="1" ht="12" customHeight="1">
      <c r="A104" s="24" t="s">
        <v>128</v>
      </c>
      <c r="B104" s="24"/>
      <c r="C104" s="24"/>
      <c r="D104" s="72"/>
      <c r="E104" s="72"/>
      <c r="F104" s="85"/>
      <c r="G104" s="86" t="s">
        <v>129</v>
      </c>
      <c r="H104" s="84" t="s">
        <v>16</v>
      </c>
      <c r="I104" s="87" t="s">
        <v>37</v>
      </c>
      <c r="J104" s="147"/>
      <c r="K104" s="132"/>
      <c r="L104" s="132"/>
      <c r="M104" s="132"/>
      <c r="N104" s="132"/>
      <c r="O104" s="132"/>
      <c r="P104" s="132"/>
      <c r="Q104" s="135"/>
      <c r="R104" s="147"/>
      <c r="S104" s="132"/>
      <c r="T104" s="132"/>
      <c r="U104" s="132"/>
      <c r="V104" s="132"/>
      <c r="W104" s="132"/>
      <c r="X104" s="132"/>
      <c r="Y104" s="135"/>
      <c r="Z104" s="35" t="s">
        <v>46</v>
      </c>
      <c r="AA104" s="43"/>
      <c r="AB104" s="43"/>
      <c r="AC104" s="43"/>
      <c r="AD104" s="43"/>
      <c r="AE104" s="62"/>
      <c r="AF104" s="44"/>
      <c r="AG104" s="44"/>
    </row>
    <row r="105" spans="1:33" ht="2.1" hidden="1" customHeight="1">
      <c r="A105" s="39"/>
      <c r="B105" s="24"/>
      <c r="C105" s="24"/>
      <c r="D105" s="24"/>
      <c r="E105" s="24"/>
      <c r="F105" s="81"/>
      <c r="G105" s="81"/>
      <c r="H105" s="81"/>
      <c r="I105" s="81"/>
      <c r="J105" s="24"/>
      <c r="K105" s="39"/>
      <c r="L105" s="24"/>
      <c r="M105" s="24"/>
      <c r="N105" s="40"/>
      <c r="O105" s="40"/>
      <c r="P105" s="24"/>
      <c r="Q105" s="24"/>
      <c r="R105" s="41"/>
      <c r="S105" s="41"/>
      <c r="T105" s="41"/>
      <c r="U105" s="24"/>
      <c r="V105" s="24"/>
      <c r="W105" s="24"/>
      <c r="X105" s="24"/>
      <c r="Y105" s="24"/>
      <c r="AE105" s="42">
        <v>2</v>
      </c>
      <c r="AF105" s="44"/>
      <c r="AG105" s="44"/>
    </row>
    <row r="106" spans="1:33" ht="12" hidden="1" customHeight="1">
      <c r="A106" s="99" t="s">
        <v>115</v>
      </c>
      <c r="B106" s="100"/>
      <c r="C106" s="100"/>
      <c r="D106" s="100"/>
      <c r="E106" s="144"/>
      <c r="F106" s="145"/>
      <c r="G106" s="145"/>
      <c r="H106" s="145"/>
      <c r="I106" s="139"/>
      <c r="J106" s="153"/>
      <c r="K106" s="132"/>
      <c r="L106" s="132"/>
      <c r="M106" s="132"/>
      <c r="N106" s="132"/>
      <c r="O106" s="132"/>
      <c r="P106" s="132"/>
      <c r="Q106" s="135"/>
      <c r="R106" s="143"/>
      <c r="S106" s="132"/>
      <c r="T106" s="132"/>
      <c r="U106" s="132"/>
      <c r="V106" s="132"/>
      <c r="W106" s="132"/>
      <c r="X106" s="132"/>
      <c r="Y106" s="132"/>
      <c r="AE106" s="42">
        <v>2</v>
      </c>
      <c r="AF106" s="44"/>
      <c r="AG106" s="44"/>
    </row>
    <row r="107" spans="1:33" ht="12" hidden="1" customHeight="1">
      <c r="A107" s="48" t="s">
        <v>117</v>
      </c>
      <c r="B107" s="48"/>
      <c r="C107" s="48"/>
      <c r="D107" s="48"/>
      <c r="E107" s="82"/>
      <c r="F107" s="82"/>
      <c r="G107" s="82"/>
      <c r="H107" s="164" t="s">
        <v>118</v>
      </c>
      <c r="I107" s="161"/>
      <c r="J107" s="131"/>
      <c r="K107" s="132"/>
      <c r="L107" s="9" t="s">
        <v>119</v>
      </c>
      <c r="M107" s="131"/>
      <c r="N107" s="132"/>
      <c r="O107" s="9" t="s">
        <v>119</v>
      </c>
      <c r="P107" s="134"/>
      <c r="Q107" s="135"/>
      <c r="R107" s="131"/>
      <c r="S107" s="132"/>
      <c r="T107" s="9" t="s">
        <v>119</v>
      </c>
      <c r="U107" s="131"/>
      <c r="V107" s="132"/>
      <c r="W107" s="9" t="s">
        <v>119</v>
      </c>
      <c r="X107" s="134"/>
      <c r="Y107" s="135"/>
      <c r="AE107" s="42">
        <v>2</v>
      </c>
      <c r="AF107" s="44"/>
      <c r="AG107" s="44"/>
    </row>
    <row r="108" spans="1:33" ht="12" hidden="1" customHeight="1">
      <c r="A108" s="99" t="s">
        <v>123</v>
      </c>
      <c r="B108" s="100"/>
      <c r="C108" s="100"/>
      <c r="D108" s="100"/>
      <c r="E108" s="100"/>
      <c r="F108" s="100"/>
      <c r="G108" s="100"/>
      <c r="H108" s="101" t="s">
        <v>124</v>
      </c>
      <c r="I108" s="100"/>
      <c r="J108" s="131"/>
      <c r="K108" s="132"/>
      <c r="L108" s="132"/>
      <c r="M108" s="127" t="s">
        <v>125</v>
      </c>
      <c r="N108" s="100"/>
      <c r="O108" s="134"/>
      <c r="P108" s="132"/>
      <c r="Q108" s="135"/>
      <c r="R108" s="131"/>
      <c r="S108" s="132"/>
      <c r="T108" s="132"/>
      <c r="U108" s="127" t="s">
        <v>125</v>
      </c>
      <c r="V108" s="100"/>
      <c r="W108" s="134"/>
      <c r="X108" s="132"/>
      <c r="Y108" s="135"/>
      <c r="AE108" s="42">
        <v>2</v>
      </c>
      <c r="AF108" s="44"/>
      <c r="AG108" s="44"/>
    </row>
    <row r="109" spans="1:33" s="12" customFormat="1" ht="12" hidden="1" customHeight="1">
      <c r="A109" s="24" t="s">
        <v>128</v>
      </c>
      <c r="B109" s="24"/>
      <c r="C109" s="24"/>
      <c r="D109" s="72"/>
      <c r="E109" s="72"/>
      <c r="F109" s="85"/>
      <c r="G109" s="86" t="s">
        <v>129</v>
      </c>
      <c r="H109" s="84" t="s">
        <v>16</v>
      </c>
      <c r="I109" s="87" t="s">
        <v>37</v>
      </c>
      <c r="J109" s="147"/>
      <c r="K109" s="132"/>
      <c r="L109" s="132"/>
      <c r="M109" s="132"/>
      <c r="N109" s="132"/>
      <c r="O109" s="132"/>
      <c r="P109" s="132"/>
      <c r="Q109" s="135"/>
      <c r="R109" s="147"/>
      <c r="S109" s="132"/>
      <c r="T109" s="132"/>
      <c r="U109" s="132"/>
      <c r="V109" s="132"/>
      <c r="W109" s="132"/>
      <c r="X109" s="132"/>
      <c r="Y109" s="135"/>
      <c r="Z109" s="36"/>
      <c r="AA109" s="42"/>
      <c r="AB109" s="42"/>
      <c r="AC109" s="42"/>
      <c r="AD109" s="42"/>
      <c r="AE109" s="42">
        <v>2</v>
      </c>
      <c r="AF109" s="44"/>
      <c r="AG109" s="44"/>
    </row>
    <row r="110" spans="1:33" ht="2.1" hidden="1" customHeight="1">
      <c r="A110" s="39"/>
      <c r="B110" s="24"/>
      <c r="C110" s="24"/>
      <c r="D110" s="24"/>
      <c r="E110" s="24"/>
      <c r="F110" s="81"/>
      <c r="G110" s="81"/>
      <c r="H110" s="81"/>
      <c r="I110" s="81"/>
      <c r="J110" s="24"/>
      <c r="K110" s="39"/>
      <c r="L110" s="24"/>
      <c r="M110" s="24"/>
      <c r="N110" s="40"/>
      <c r="O110" s="40"/>
      <c r="P110" s="24"/>
      <c r="Q110" s="24"/>
      <c r="R110" s="41"/>
      <c r="S110" s="41"/>
      <c r="T110" s="41"/>
      <c r="U110" s="24"/>
      <c r="V110" s="24"/>
      <c r="W110" s="24"/>
      <c r="X110" s="24"/>
      <c r="Y110" s="24"/>
      <c r="AE110" s="42">
        <v>3</v>
      </c>
      <c r="AF110" s="44"/>
      <c r="AG110" s="44"/>
    </row>
    <row r="111" spans="1:33" ht="12" hidden="1" customHeight="1">
      <c r="A111" s="99" t="s">
        <v>115</v>
      </c>
      <c r="B111" s="100"/>
      <c r="C111" s="100"/>
      <c r="D111" s="100"/>
      <c r="E111" s="144" t="s">
        <v>130</v>
      </c>
      <c r="F111" s="145"/>
      <c r="G111" s="145"/>
      <c r="H111" s="145"/>
      <c r="I111" s="139"/>
      <c r="J111" s="153"/>
      <c r="K111" s="132"/>
      <c r="L111" s="132"/>
      <c r="M111" s="132"/>
      <c r="N111" s="132"/>
      <c r="O111" s="132"/>
      <c r="P111" s="132"/>
      <c r="Q111" s="135"/>
      <c r="R111" s="143">
        <v>14056</v>
      </c>
      <c r="S111" s="132"/>
      <c r="T111" s="132"/>
      <c r="U111" s="132"/>
      <c r="V111" s="132"/>
      <c r="W111" s="132"/>
      <c r="X111" s="132"/>
      <c r="Y111" s="132"/>
      <c r="AE111" s="42">
        <v>3</v>
      </c>
      <c r="AF111" s="44"/>
      <c r="AG111" s="44"/>
    </row>
    <row r="112" spans="1:33" ht="12" hidden="1" customHeight="1">
      <c r="A112" s="48" t="s">
        <v>117</v>
      </c>
      <c r="B112" s="48"/>
      <c r="C112" s="48"/>
      <c r="D112" s="48"/>
      <c r="E112" s="82"/>
      <c r="F112" s="82"/>
      <c r="G112" s="82"/>
      <c r="H112" s="164" t="s">
        <v>118</v>
      </c>
      <c r="I112" s="161"/>
      <c r="J112" s="131"/>
      <c r="K112" s="132"/>
      <c r="L112" s="9" t="s">
        <v>119</v>
      </c>
      <c r="M112" s="131"/>
      <c r="N112" s="132"/>
      <c r="O112" s="9" t="s">
        <v>119</v>
      </c>
      <c r="P112" s="134"/>
      <c r="Q112" s="135"/>
      <c r="R112" s="131" t="s">
        <v>120</v>
      </c>
      <c r="S112" s="132"/>
      <c r="T112" s="9" t="s">
        <v>119</v>
      </c>
      <c r="U112" s="131" t="s">
        <v>131</v>
      </c>
      <c r="V112" s="132"/>
      <c r="W112" s="9" t="s">
        <v>119</v>
      </c>
      <c r="X112" s="134" t="s">
        <v>131</v>
      </c>
      <c r="Y112" s="135"/>
      <c r="AE112" s="42">
        <v>3</v>
      </c>
      <c r="AF112" s="44"/>
      <c r="AG112" s="44"/>
    </row>
    <row r="113" spans="1:33" ht="12" hidden="1" customHeight="1">
      <c r="A113" s="99" t="s">
        <v>123</v>
      </c>
      <c r="B113" s="100"/>
      <c r="C113" s="100"/>
      <c r="D113" s="100"/>
      <c r="E113" s="100"/>
      <c r="F113" s="100"/>
      <c r="G113" s="100"/>
      <c r="H113" s="101" t="s">
        <v>124</v>
      </c>
      <c r="I113" s="100"/>
      <c r="J113" s="131"/>
      <c r="K113" s="132"/>
      <c r="L113" s="132"/>
      <c r="M113" s="127" t="s">
        <v>125</v>
      </c>
      <c r="N113" s="100"/>
      <c r="O113" s="134"/>
      <c r="P113" s="132"/>
      <c r="Q113" s="135"/>
      <c r="R113" s="134" t="s">
        <v>132</v>
      </c>
      <c r="S113" s="132"/>
      <c r="T113" s="135"/>
      <c r="U113" s="127" t="s">
        <v>125</v>
      </c>
      <c r="V113" s="100"/>
      <c r="W113" s="134" t="s">
        <v>133</v>
      </c>
      <c r="X113" s="132"/>
      <c r="Y113" s="135"/>
      <c r="AE113" s="42">
        <v>3</v>
      </c>
      <c r="AF113" s="44"/>
      <c r="AG113" s="44"/>
    </row>
    <row r="114" spans="1:33" s="12" customFormat="1" ht="12" hidden="1" customHeight="1">
      <c r="A114" s="24" t="s">
        <v>128</v>
      </c>
      <c r="B114" s="24"/>
      <c r="C114" s="24"/>
      <c r="D114" s="72"/>
      <c r="E114" s="72"/>
      <c r="F114" s="85"/>
      <c r="G114" s="86" t="s">
        <v>129</v>
      </c>
      <c r="H114" s="84" t="s">
        <v>16</v>
      </c>
      <c r="I114" s="87" t="s">
        <v>37</v>
      </c>
      <c r="J114" s="147"/>
      <c r="K114" s="132"/>
      <c r="L114" s="132"/>
      <c r="M114" s="132"/>
      <c r="N114" s="132"/>
      <c r="O114" s="132"/>
      <c r="P114" s="132"/>
      <c r="Q114" s="135"/>
      <c r="R114" s="147"/>
      <c r="S114" s="132"/>
      <c r="T114" s="132"/>
      <c r="U114" s="132"/>
      <c r="V114" s="132"/>
      <c r="W114" s="132"/>
      <c r="X114" s="132"/>
      <c r="Y114" s="135"/>
      <c r="Z114" s="36"/>
      <c r="AA114" s="42"/>
      <c r="AB114" s="42"/>
      <c r="AC114" s="42"/>
      <c r="AD114" s="42"/>
      <c r="AE114" s="42">
        <v>3</v>
      </c>
      <c r="AF114" s="44"/>
      <c r="AG114" s="44"/>
    </row>
    <row r="115" spans="1:33" ht="2.1" hidden="1" customHeight="1">
      <c r="A115" s="39"/>
      <c r="B115" s="24"/>
      <c r="C115" s="24"/>
      <c r="D115" s="24"/>
      <c r="E115" s="24"/>
      <c r="F115" s="81"/>
      <c r="G115" s="81"/>
      <c r="H115" s="81"/>
      <c r="I115" s="81"/>
      <c r="J115" s="24"/>
      <c r="K115" s="39"/>
      <c r="L115" s="24"/>
      <c r="M115" s="24"/>
      <c r="N115" s="40"/>
      <c r="O115" s="40"/>
      <c r="P115" s="24"/>
      <c r="Q115" s="24"/>
      <c r="R115" s="41"/>
      <c r="S115" s="41"/>
      <c r="T115" s="41"/>
      <c r="U115" s="24"/>
      <c r="V115" s="24"/>
      <c r="W115" s="24"/>
      <c r="X115" s="24"/>
      <c r="Y115" s="24"/>
      <c r="AE115" s="42">
        <v>4</v>
      </c>
      <c r="AF115" s="44"/>
      <c r="AG115" s="44"/>
    </row>
    <row r="116" spans="1:33" ht="12" hidden="1" customHeight="1">
      <c r="A116" s="99" t="s">
        <v>115</v>
      </c>
      <c r="B116" s="100"/>
      <c r="C116" s="100"/>
      <c r="D116" s="100"/>
      <c r="E116" s="144"/>
      <c r="F116" s="145"/>
      <c r="G116" s="145"/>
      <c r="H116" s="145"/>
      <c r="I116" s="139"/>
      <c r="J116" s="153"/>
      <c r="K116" s="132"/>
      <c r="L116" s="132"/>
      <c r="M116" s="132"/>
      <c r="N116" s="132"/>
      <c r="O116" s="132"/>
      <c r="P116" s="132"/>
      <c r="Q116" s="135"/>
      <c r="R116" s="143"/>
      <c r="S116" s="132"/>
      <c r="T116" s="132"/>
      <c r="U116" s="132"/>
      <c r="V116" s="132"/>
      <c r="W116" s="132"/>
      <c r="X116" s="132"/>
      <c r="Y116" s="132"/>
      <c r="AE116" s="42">
        <v>4</v>
      </c>
      <c r="AF116" s="44"/>
      <c r="AG116" s="44"/>
    </row>
    <row r="117" spans="1:33" ht="12" hidden="1" customHeight="1">
      <c r="A117" s="48" t="s">
        <v>117</v>
      </c>
      <c r="B117" s="48"/>
      <c r="C117" s="48"/>
      <c r="D117" s="48"/>
      <c r="E117" s="82"/>
      <c r="F117" s="82"/>
      <c r="G117" s="82"/>
      <c r="H117" s="164" t="s">
        <v>118</v>
      </c>
      <c r="I117" s="161"/>
      <c r="J117" s="131"/>
      <c r="K117" s="132"/>
      <c r="L117" s="9" t="s">
        <v>119</v>
      </c>
      <c r="M117" s="131"/>
      <c r="N117" s="132"/>
      <c r="O117" s="9" t="s">
        <v>119</v>
      </c>
      <c r="P117" s="134"/>
      <c r="Q117" s="135"/>
      <c r="R117" s="131"/>
      <c r="S117" s="132"/>
      <c r="T117" s="9" t="s">
        <v>119</v>
      </c>
      <c r="U117" s="131"/>
      <c r="V117" s="132"/>
      <c r="W117" s="9" t="s">
        <v>119</v>
      </c>
      <c r="X117" s="134"/>
      <c r="Y117" s="135"/>
      <c r="AE117" s="42">
        <v>4</v>
      </c>
      <c r="AF117" s="44"/>
      <c r="AG117" s="44"/>
    </row>
    <row r="118" spans="1:33" ht="12" hidden="1" customHeight="1">
      <c r="A118" s="99" t="s">
        <v>123</v>
      </c>
      <c r="B118" s="100"/>
      <c r="C118" s="100"/>
      <c r="D118" s="100"/>
      <c r="E118" s="100"/>
      <c r="F118" s="100"/>
      <c r="G118" s="100"/>
      <c r="H118" s="101" t="s">
        <v>124</v>
      </c>
      <c r="I118" s="100"/>
      <c r="J118" s="131"/>
      <c r="K118" s="132"/>
      <c r="L118" s="132"/>
      <c r="M118" s="127" t="s">
        <v>125</v>
      </c>
      <c r="N118" s="100"/>
      <c r="O118" s="134"/>
      <c r="P118" s="132"/>
      <c r="Q118" s="135"/>
      <c r="R118" s="131"/>
      <c r="S118" s="132"/>
      <c r="T118" s="132"/>
      <c r="U118" s="127" t="s">
        <v>125</v>
      </c>
      <c r="V118" s="100"/>
      <c r="W118" s="134"/>
      <c r="X118" s="132"/>
      <c r="Y118" s="135"/>
      <c r="AE118" s="42">
        <v>4</v>
      </c>
      <c r="AF118" s="44"/>
      <c r="AG118" s="44"/>
    </row>
    <row r="119" spans="1:33" s="12" customFormat="1" ht="12" hidden="1" customHeight="1">
      <c r="A119" s="24" t="s">
        <v>128</v>
      </c>
      <c r="B119" s="24"/>
      <c r="C119" s="24"/>
      <c r="D119" s="72"/>
      <c r="E119" s="72"/>
      <c r="F119" s="85"/>
      <c r="G119" s="86" t="s">
        <v>129</v>
      </c>
      <c r="H119" s="84"/>
      <c r="I119" s="87" t="s">
        <v>37</v>
      </c>
      <c r="J119" s="147"/>
      <c r="K119" s="132"/>
      <c r="L119" s="132"/>
      <c r="M119" s="132"/>
      <c r="N119" s="132"/>
      <c r="O119" s="132"/>
      <c r="P119" s="132"/>
      <c r="Q119" s="135"/>
      <c r="R119" s="147"/>
      <c r="S119" s="132"/>
      <c r="T119" s="132"/>
      <c r="U119" s="132"/>
      <c r="V119" s="132"/>
      <c r="W119" s="132"/>
      <c r="X119" s="132"/>
      <c r="Y119" s="135"/>
      <c r="Z119" s="36"/>
      <c r="AA119" s="42"/>
      <c r="AB119" s="42"/>
      <c r="AC119" s="42"/>
      <c r="AD119" s="42"/>
      <c r="AE119" s="42">
        <v>4</v>
      </c>
      <c r="AF119" s="44"/>
      <c r="AG119" s="44"/>
    </row>
    <row r="120" spans="1:33" ht="2.1" hidden="1" customHeight="1">
      <c r="A120" s="39"/>
      <c r="B120" s="24"/>
      <c r="C120" s="24"/>
      <c r="D120" s="24"/>
      <c r="E120" s="24"/>
      <c r="F120" s="81"/>
      <c r="G120" s="81"/>
      <c r="H120" s="81"/>
      <c r="I120" s="81"/>
      <c r="J120" s="24"/>
      <c r="K120" s="39"/>
      <c r="L120" s="24"/>
      <c r="M120" s="24"/>
      <c r="N120" s="40"/>
      <c r="O120" s="40"/>
      <c r="P120" s="24"/>
      <c r="Q120" s="24"/>
      <c r="R120" s="41"/>
      <c r="S120" s="41"/>
      <c r="T120" s="41"/>
      <c r="U120" s="24"/>
      <c r="V120" s="24"/>
      <c r="W120" s="24"/>
      <c r="X120" s="24"/>
      <c r="Y120" s="24"/>
      <c r="AE120" s="42">
        <v>5</v>
      </c>
      <c r="AF120" s="44"/>
      <c r="AG120" s="44"/>
    </row>
    <row r="121" spans="1:33" ht="12" hidden="1" customHeight="1">
      <c r="A121" s="99" t="s">
        <v>115</v>
      </c>
      <c r="B121" s="100"/>
      <c r="C121" s="100"/>
      <c r="D121" s="100"/>
      <c r="E121" s="144"/>
      <c r="F121" s="145"/>
      <c r="G121" s="145"/>
      <c r="H121" s="145"/>
      <c r="I121" s="139"/>
      <c r="J121" s="153"/>
      <c r="K121" s="132"/>
      <c r="L121" s="132"/>
      <c r="M121" s="132"/>
      <c r="N121" s="132"/>
      <c r="O121" s="132"/>
      <c r="P121" s="132"/>
      <c r="Q121" s="135"/>
      <c r="R121" s="143"/>
      <c r="S121" s="132"/>
      <c r="T121" s="132"/>
      <c r="U121" s="132"/>
      <c r="V121" s="132"/>
      <c r="W121" s="132"/>
      <c r="X121" s="132"/>
      <c r="Y121" s="132"/>
      <c r="AE121" s="42">
        <v>5</v>
      </c>
      <c r="AF121" s="44"/>
      <c r="AG121" s="44"/>
    </row>
    <row r="122" spans="1:33" ht="12" hidden="1" customHeight="1">
      <c r="A122" s="48" t="s">
        <v>117</v>
      </c>
      <c r="B122" s="48"/>
      <c r="C122" s="48"/>
      <c r="D122" s="48"/>
      <c r="E122" s="82"/>
      <c r="F122" s="82"/>
      <c r="G122" s="82"/>
      <c r="H122" s="164" t="s">
        <v>118</v>
      </c>
      <c r="I122" s="161"/>
      <c r="J122" s="131"/>
      <c r="K122" s="132"/>
      <c r="L122" s="9" t="s">
        <v>119</v>
      </c>
      <c r="M122" s="131"/>
      <c r="N122" s="132"/>
      <c r="O122" s="9" t="s">
        <v>119</v>
      </c>
      <c r="P122" s="134"/>
      <c r="Q122" s="135"/>
      <c r="R122" s="131"/>
      <c r="S122" s="132"/>
      <c r="T122" s="9" t="s">
        <v>119</v>
      </c>
      <c r="U122" s="131"/>
      <c r="V122" s="132"/>
      <c r="W122" s="9" t="s">
        <v>119</v>
      </c>
      <c r="X122" s="134"/>
      <c r="Y122" s="135"/>
      <c r="AE122" s="42">
        <v>5</v>
      </c>
      <c r="AF122" s="44"/>
      <c r="AG122" s="44"/>
    </row>
    <row r="123" spans="1:33" ht="12" hidden="1" customHeight="1">
      <c r="A123" s="48" t="s">
        <v>123</v>
      </c>
      <c r="B123" s="48"/>
      <c r="C123" s="48"/>
      <c r="D123" s="48"/>
      <c r="E123" s="48"/>
      <c r="F123" s="48"/>
      <c r="G123" s="48"/>
      <c r="H123" s="49" t="s">
        <v>124</v>
      </c>
      <c r="I123" s="49"/>
      <c r="J123" s="131"/>
      <c r="K123" s="132"/>
      <c r="L123" s="132"/>
      <c r="M123" s="127" t="s">
        <v>125</v>
      </c>
      <c r="N123" s="100"/>
      <c r="O123" s="134"/>
      <c r="P123" s="132"/>
      <c r="Q123" s="135"/>
      <c r="R123" s="131"/>
      <c r="S123" s="132"/>
      <c r="T123" s="132"/>
      <c r="U123" s="127" t="s">
        <v>125</v>
      </c>
      <c r="V123" s="100"/>
      <c r="W123" s="134"/>
      <c r="X123" s="132"/>
      <c r="Y123" s="135"/>
      <c r="AE123" s="42">
        <v>5</v>
      </c>
      <c r="AF123" s="44"/>
      <c r="AG123" s="44"/>
    </row>
    <row r="124" spans="1:33" s="12" customFormat="1" ht="12" hidden="1" customHeight="1">
      <c r="A124" s="24" t="s">
        <v>128</v>
      </c>
      <c r="B124" s="24"/>
      <c r="C124" s="24"/>
      <c r="D124" s="72"/>
      <c r="E124" s="72"/>
      <c r="F124" s="85"/>
      <c r="G124" s="86" t="s">
        <v>129</v>
      </c>
      <c r="H124" s="84"/>
      <c r="I124" s="87" t="s">
        <v>37</v>
      </c>
      <c r="J124" s="147"/>
      <c r="K124" s="132"/>
      <c r="L124" s="132"/>
      <c r="M124" s="132"/>
      <c r="N124" s="132"/>
      <c r="O124" s="132"/>
      <c r="P124" s="132"/>
      <c r="Q124" s="135"/>
      <c r="R124" s="147"/>
      <c r="S124" s="132"/>
      <c r="T124" s="132"/>
      <c r="U124" s="132"/>
      <c r="V124" s="132"/>
      <c r="W124" s="132"/>
      <c r="X124" s="132"/>
      <c r="Y124" s="135"/>
      <c r="Z124" s="36"/>
      <c r="AA124" s="42"/>
      <c r="AB124" s="42"/>
      <c r="AC124" s="42"/>
      <c r="AD124" s="42"/>
      <c r="AE124" s="42">
        <v>5</v>
      </c>
      <c r="AF124" s="44"/>
      <c r="AG124" s="44"/>
    </row>
    <row r="125" spans="1:33" s="12" customFormat="1" ht="10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3"/>
      <c r="K125" s="3"/>
      <c r="L125" s="3"/>
      <c r="M125" s="3"/>
      <c r="N125" s="3"/>
      <c r="O125" s="3"/>
      <c r="P125" s="3"/>
      <c r="Q125" s="3"/>
      <c r="R125" s="4"/>
      <c r="S125" s="4"/>
      <c r="T125" s="4"/>
      <c r="U125" s="4"/>
      <c r="V125" s="4"/>
      <c r="W125" s="4"/>
      <c r="X125" s="4"/>
      <c r="Y125" s="4"/>
      <c r="Z125" s="36"/>
      <c r="AA125" s="42"/>
      <c r="AB125" s="42"/>
      <c r="AC125" s="42"/>
      <c r="AD125" s="42"/>
      <c r="AE125" s="42"/>
      <c r="AF125" s="44"/>
      <c r="AG125" s="44"/>
    </row>
    <row r="126" spans="1:33" s="12" customFormat="1" ht="2.1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1"/>
      <c r="K126" s="71"/>
      <c r="L126" s="71"/>
      <c r="M126" s="71"/>
      <c r="N126" s="71"/>
      <c r="O126" s="71"/>
      <c r="P126" s="71"/>
      <c r="Q126" s="71"/>
      <c r="R126" s="67"/>
      <c r="S126" s="67"/>
      <c r="T126" s="67"/>
      <c r="U126" s="67"/>
      <c r="V126" s="67"/>
      <c r="W126" s="67"/>
      <c r="X126" s="67"/>
      <c r="Y126" s="67"/>
      <c r="Z126" s="36"/>
      <c r="AA126" s="42"/>
      <c r="AB126" s="42"/>
      <c r="AC126" s="42"/>
      <c r="AD126" s="42"/>
      <c r="AE126" s="42"/>
      <c r="AF126" s="44"/>
      <c r="AG126" s="44"/>
    </row>
    <row r="127" spans="1:33" s="12" customFormat="1" ht="12" customHeight="1">
      <c r="A127" s="75" t="s">
        <v>134</v>
      </c>
      <c r="B127" s="74"/>
      <c r="C127" s="74"/>
      <c r="D127" s="74"/>
      <c r="E127" s="74"/>
      <c r="F127" s="74"/>
      <c r="G127" s="74" t="s">
        <v>78</v>
      </c>
      <c r="H127" s="74"/>
      <c r="I127" s="74"/>
      <c r="J127" s="201" t="s">
        <v>135</v>
      </c>
      <c r="K127" s="103"/>
      <c r="L127" s="71"/>
      <c r="M127" s="71"/>
      <c r="N127" s="71"/>
      <c r="O127" s="71"/>
      <c r="P127" s="71"/>
      <c r="Q127" s="71"/>
      <c r="R127" s="67"/>
      <c r="S127" s="67"/>
      <c r="T127" s="67"/>
      <c r="U127" s="67"/>
      <c r="V127" s="67"/>
      <c r="W127" s="67"/>
      <c r="X127" s="67"/>
      <c r="Y127" s="67"/>
      <c r="Z127" s="36"/>
      <c r="AA127" s="42"/>
      <c r="AB127" s="42"/>
      <c r="AC127" s="42"/>
      <c r="AD127" s="42"/>
      <c r="AE127" s="42"/>
      <c r="AF127" s="44"/>
      <c r="AG127" s="44"/>
    </row>
    <row r="128" spans="1:33" s="12" customFormat="1" ht="12" customHeight="1">
      <c r="A128" s="74"/>
      <c r="B128" s="74"/>
      <c r="C128" s="74"/>
      <c r="D128" s="74"/>
      <c r="E128" s="74"/>
      <c r="F128" s="74"/>
      <c r="G128" s="74" t="s">
        <v>86</v>
      </c>
      <c r="H128" s="74"/>
      <c r="I128" s="74"/>
      <c r="J128" s="130" t="s">
        <v>136</v>
      </c>
      <c r="K128" s="109"/>
      <c r="L128" s="71"/>
      <c r="M128" s="71"/>
      <c r="N128" s="71"/>
      <c r="O128" s="71"/>
      <c r="P128" s="71"/>
      <c r="Q128" s="71"/>
      <c r="R128" s="67"/>
      <c r="S128" s="67"/>
      <c r="T128" s="67"/>
      <c r="U128" s="67"/>
      <c r="V128" s="67"/>
      <c r="W128" s="67"/>
      <c r="X128" s="67"/>
      <c r="Y128" s="67"/>
      <c r="Z128" s="36"/>
      <c r="AA128" s="42"/>
      <c r="AB128" s="42"/>
      <c r="AC128" s="42"/>
      <c r="AD128" s="42"/>
      <c r="AE128" s="42"/>
      <c r="AF128" s="44"/>
      <c r="AG128" s="44"/>
    </row>
    <row r="129" spans="1:33" s="12" customFormat="1" ht="2.1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1"/>
      <c r="K129" s="71"/>
      <c r="L129" s="71"/>
      <c r="M129" s="71"/>
      <c r="N129" s="71"/>
      <c r="O129" s="71"/>
      <c r="P129" s="71"/>
      <c r="Q129" s="71"/>
      <c r="R129" s="67"/>
      <c r="S129" s="67"/>
      <c r="T129" s="67"/>
      <c r="U129" s="67"/>
      <c r="V129" s="67"/>
      <c r="W129" s="67"/>
      <c r="X129" s="67"/>
      <c r="Y129" s="67"/>
      <c r="Z129" s="36"/>
      <c r="AA129" s="42"/>
      <c r="AB129" s="42"/>
      <c r="AC129" s="42"/>
      <c r="AD129" s="42"/>
      <c r="AE129" s="42"/>
      <c r="AF129" s="44"/>
      <c r="AG129" s="44"/>
    </row>
    <row r="130" spans="1:33" s="12" customFormat="1" ht="5.0999999999999996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3"/>
      <c r="K130" s="3"/>
      <c r="L130" s="3"/>
      <c r="M130" s="3"/>
      <c r="N130" s="3"/>
      <c r="O130" s="3"/>
      <c r="P130" s="3"/>
      <c r="Q130" s="3"/>
      <c r="R130" s="4"/>
      <c r="S130" s="4"/>
      <c r="T130" s="4"/>
      <c r="U130" s="4"/>
      <c r="V130" s="4"/>
      <c r="W130" s="4"/>
      <c r="X130" s="4"/>
      <c r="Y130" s="4"/>
      <c r="Z130" s="36"/>
      <c r="AA130" s="42"/>
      <c r="AB130" s="42"/>
      <c r="AC130" s="42"/>
      <c r="AD130" s="42"/>
      <c r="AE130" s="42"/>
      <c r="AF130" s="44"/>
      <c r="AG130" s="44"/>
    </row>
    <row r="131" spans="1:33" ht="10.5" customHeight="1">
      <c r="A131" s="32" t="s">
        <v>137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5"/>
      <c r="L131" s="13"/>
      <c r="M131" s="13"/>
      <c r="N131" s="4"/>
      <c r="O131" s="4"/>
      <c r="P131" s="13"/>
      <c r="Q131" s="13"/>
      <c r="R131" s="14"/>
      <c r="S131" s="14"/>
      <c r="T131" s="14"/>
      <c r="U131" s="13"/>
      <c r="V131" s="13"/>
      <c r="W131" s="13"/>
      <c r="X131" s="13"/>
      <c r="Y131" s="13"/>
      <c r="Z131" s="35" t="s">
        <v>46</v>
      </c>
      <c r="AA131" s="43"/>
      <c r="AB131" s="43"/>
      <c r="AC131" s="43"/>
      <c r="AD131" s="43"/>
      <c r="AE131" s="62"/>
      <c r="AF131" s="44"/>
      <c r="AG131" s="44"/>
    </row>
    <row r="132" spans="1:33" ht="10.5" customHeight="1">
      <c r="A132" s="209" t="s">
        <v>138</v>
      </c>
      <c r="B132" s="210"/>
      <c r="C132" s="210"/>
      <c r="D132" s="210"/>
      <c r="E132" s="211"/>
      <c r="F132" s="115">
        <v>1</v>
      </c>
      <c r="G132" s="115">
        <v>2</v>
      </c>
      <c r="H132" s="115">
        <v>3</v>
      </c>
      <c r="I132" s="115">
        <v>4</v>
      </c>
      <c r="J132" s="115">
        <v>5</v>
      </c>
      <c r="K132" s="115">
        <v>6</v>
      </c>
      <c r="L132" s="115">
        <v>7</v>
      </c>
      <c r="M132" s="115">
        <v>8</v>
      </c>
      <c r="N132" s="115">
        <v>9</v>
      </c>
      <c r="O132" s="115">
        <v>10</v>
      </c>
      <c r="P132" s="115">
        <v>11</v>
      </c>
      <c r="Q132" s="115">
        <v>12</v>
      </c>
      <c r="R132" s="115">
        <v>13</v>
      </c>
      <c r="S132" s="115">
        <v>14</v>
      </c>
      <c r="T132" s="115">
        <v>15</v>
      </c>
      <c r="U132" s="115">
        <v>16</v>
      </c>
      <c r="V132" s="115">
        <v>17</v>
      </c>
      <c r="W132" s="115">
        <v>18</v>
      </c>
      <c r="X132" s="115">
        <v>19</v>
      </c>
      <c r="Y132" s="166">
        <v>20</v>
      </c>
      <c r="AG132" s="44"/>
    </row>
    <row r="133" spans="1:33" ht="10.5" customHeight="1">
      <c r="A133" s="190" t="s">
        <v>139</v>
      </c>
      <c r="B133" s="184"/>
      <c r="C133" s="184"/>
      <c r="D133" s="184"/>
      <c r="E133" s="191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67"/>
      <c r="AG133" s="44"/>
    </row>
    <row r="134" spans="1:33" ht="10.5" hidden="1" customHeight="1">
      <c r="A134" s="157"/>
      <c r="B134" s="109"/>
      <c r="C134" s="109"/>
      <c r="D134" s="109"/>
      <c r="E134" s="109"/>
      <c r="F134" s="21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220"/>
      <c r="AF134" s="93" t="s">
        <v>140</v>
      </c>
      <c r="AG134" s="44"/>
    </row>
    <row r="135" spans="1:33" ht="10.5" hidden="1" customHeight="1">
      <c r="A135" s="157"/>
      <c r="B135" s="109"/>
      <c r="C135" s="109"/>
      <c r="D135" s="109"/>
      <c r="E135" s="109"/>
      <c r="F135" s="21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220"/>
      <c r="AF135" s="93" t="s">
        <v>141</v>
      </c>
      <c r="AG135" s="44"/>
    </row>
    <row r="136" spans="1:33" ht="10.5" hidden="1" customHeight="1">
      <c r="A136" s="157"/>
      <c r="B136" s="109"/>
      <c r="C136" s="109"/>
      <c r="D136" s="109"/>
      <c r="E136" s="109"/>
      <c r="F136" s="216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217"/>
      <c r="AF136" s="93" t="s">
        <v>142</v>
      </c>
      <c r="AG136" s="44"/>
    </row>
    <row r="137" spans="1:33" ht="13.05" customHeight="1">
      <c r="A137" s="105" t="s">
        <v>143</v>
      </c>
      <c r="B137" s="106"/>
      <c r="C137" s="106"/>
      <c r="D137" s="106"/>
      <c r="E137" s="107"/>
      <c r="F137" s="97">
        <v>26.66</v>
      </c>
      <c r="G137" s="97">
        <v>25.73</v>
      </c>
      <c r="H137" s="97">
        <v>25.55</v>
      </c>
      <c r="I137" s="97">
        <v>25.29</v>
      </c>
      <c r="J137" s="97">
        <v>26.17</v>
      </c>
      <c r="K137" s="97">
        <v>26.19</v>
      </c>
      <c r="L137" s="97">
        <v>26.71</v>
      </c>
      <c r="M137" s="97">
        <v>26.5</v>
      </c>
      <c r="N137" s="97">
        <v>26.51</v>
      </c>
      <c r="O137" s="97">
        <v>25.78</v>
      </c>
      <c r="P137" s="97">
        <v>25.85</v>
      </c>
      <c r="Q137" s="97">
        <v>26.53</v>
      </c>
      <c r="R137" s="97">
        <v>25</v>
      </c>
      <c r="S137" s="97">
        <v>25.78</v>
      </c>
      <c r="T137" s="97">
        <v>25.59</v>
      </c>
      <c r="U137" s="97">
        <v>25.52</v>
      </c>
      <c r="V137" s="97">
        <v>26.62</v>
      </c>
      <c r="W137" s="97">
        <v>27</v>
      </c>
      <c r="X137" s="97">
        <v>25.28</v>
      </c>
      <c r="Y137" s="111">
        <v>26.25</v>
      </c>
      <c r="AF137" s="95">
        <v>1</v>
      </c>
      <c r="AG137" s="44"/>
    </row>
    <row r="138" spans="1:33" ht="13.05" customHeight="1">
      <c r="A138" s="114" t="s">
        <v>144</v>
      </c>
      <c r="B138" s="103"/>
      <c r="C138" s="103"/>
      <c r="D138" s="103"/>
      <c r="E138" s="104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112"/>
      <c r="AF138" s="95">
        <v>1</v>
      </c>
      <c r="AG138" s="44"/>
    </row>
    <row r="139" spans="1:33" ht="13.05" customHeight="1">
      <c r="A139" s="105" t="s">
        <v>145</v>
      </c>
      <c r="B139" s="106"/>
      <c r="C139" s="106"/>
      <c r="D139" s="106"/>
      <c r="E139" s="107"/>
      <c r="F139" s="97">
        <v>25.66</v>
      </c>
      <c r="G139" s="97">
        <v>25.13</v>
      </c>
      <c r="H139" s="97">
        <v>25.61</v>
      </c>
      <c r="I139" s="97">
        <v>25.23</v>
      </c>
      <c r="J139" s="97">
        <v>26.19</v>
      </c>
      <c r="K139" s="97">
        <v>26.04</v>
      </c>
      <c r="L139" s="97">
        <v>25.13</v>
      </c>
      <c r="M139" s="97">
        <v>25.38</v>
      </c>
      <c r="N139" s="97">
        <v>25.9</v>
      </c>
      <c r="O139" s="97">
        <v>25.05</v>
      </c>
      <c r="P139" s="97">
        <v>26.06</v>
      </c>
      <c r="Q139" s="97">
        <v>25.84</v>
      </c>
      <c r="R139" s="97">
        <v>25.41</v>
      </c>
      <c r="S139" s="97">
        <v>25.04</v>
      </c>
      <c r="T139" s="97">
        <v>26.4</v>
      </c>
      <c r="U139" s="97">
        <v>25.75</v>
      </c>
      <c r="V139" s="97">
        <v>26.06</v>
      </c>
      <c r="W139" s="97">
        <v>25.29</v>
      </c>
      <c r="X139" s="97">
        <v>25.74</v>
      </c>
      <c r="Y139" s="111">
        <v>26.23</v>
      </c>
      <c r="AF139" s="95">
        <v>2</v>
      </c>
      <c r="AG139" s="44"/>
    </row>
    <row r="140" spans="1:33" ht="13.05" customHeight="1">
      <c r="A140" s="114" t="s">
        <v>146</v>
      </c>
      <c r="B140" s="103"/>
      <c r="C140" s="103"/>
      <c r="D140" s="103"/>
      <c r="E140" s="104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112"/>
      <c r="AF140" s="95">
        <v>2</v>
      </c>
      <c r="AG140" s="44"/>
    </row>
    <row r="141" spans="1:33" ht="13.05" customHeight="1">
      <c r="A141" s="105" t="s">
        <v>147</v>
      </c>
      <c r="B141" s="106"/>
      <c r="C141" s="106"/>
      <c r="D141" s="106"/>
      <c r="E141" s="107"/>
      <c r="F141" s="97">
        <v>12.93</v>
      </c>
      <c r="G141" s="97">
        <v>12.6</v>
      </c>
      <c r="H141" s="97">
        <v>12.63</v>
      </c>
      <c r="I141" s="97">
        <v>13.07</v>
      </c>
      <c r="J141" s="97">
        <v>12.82</v>
      </c>
      <c r="K141" s="97">
        <v>12.94</v>
      </c>
      <c r="L141" s="97">
        <v>12.74</v>
      </c>
      <c r="M141" s="97">
        <v>12.89</v>
      </c>
      <c r="N141" s="97">
        <v>12.76</v>
      </c>
      <c r="O141" s="97">
        <v>13.27</v>
      </c>
      <c r="P141" s="97">
        <v>12.65</v>
      </c>
      <c r="Q141" s="97">
        <v>12.84</v>
      </c>
      <c r="R141" s="97">
        <v>13.02</v>
      </c>
      <c r="S141" s="97">
        <v>13.22</v>
      </c>
      <c r="T141" s="97">
        <v>12.62</v>
      </c>
      <c r="U141" s="97">
        <v>12.6</v>
      </c>
      <c r="V141" s="97">
        <v>12.97</v>
      </c>
      <c r="W141" s="97">
        <v>12.9</v>
      </c>
      <c r="X141" s="97">
        <v>12.82</v>
      </c>
      <c r="Y141" s="111">
        <v>12.99</v>
      </c>
      <c r="AF141" s="95">
        <v>3</v>
      </c>
      <c r="AG141" s="44"/>
    </row>
    <row r="142" spans="1:33" ht="13.05" customHeight="1">
      <c r="A142" s="114" t="s">
        <v>148</v>
      </c>
      <c r="B142" s="103"/>
      <c r="C142" s="103"/>
      <c r="D142" s="103"/>
      <c r="E142" s="104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112"/>
      <c r="AF142" s="95">
        <v>3</v>
      </c>
      <c r="AG142" s="44"/>
    </row>
    <row r="143" spans="1:33" ht="13.05" customHeight="1">
      <c r="A143" s="105" t="s">
        <v>149</v>
      </c>
      <c r="B143" s="106"/>
      <c r="C143" s="106"/>
      <c r="D143" s="106"/>
      <c r="E143" s="107"/>
      <c r="F143" s="97">
        <v>11.08</v>
      </c>
      <c r="G143" s="97">
        <v>10.93</v>
      </c>
      <c r="H143" s="97">
        <v>11.18</v>
      </c>
      <c r="I143" s="97">
        <v>11.46</v>
      </c>
      <c r="J143" s="97">
        <v>11.23</v>
      </c>
      <c r="K143" s="97">
        <v>10.84</v>
      </c>
      <c r="L143" s="97">
        <v>11.34</v>
      </c>
      <c r="M143" s="97">
        <v>11.26</v>
      </c>
      <c r="N143" s="97">
        <v>11.29</v>
      </c>
      <c r="O143" s="97">
        <v>10.99</v>
      </c>
      <c r="P143" s="97">
        <v>11.03</v>
      </c>
      <c r="Q143" s="97">
        <v>10.9</v>
      </c>
      <c r="R143" s="97">
        <v>10.76</v>
      </c>
      <c r="S143" s="97">
        <v>11.25</v>
      </c>
      <c r="T143" s="97">
        <v>11.24</v>
      </c>
      <c r="U143" s="97">
        <v>11.41</v>
      </c>
      <c r="V143" s="97">
        <v>11.28</v>
      </c>
      <c r="W143" s="97">
        <v>11.13</v>
      </c>
      <c r="X143" s="97">
        <v>10.84</v>
      </c>
      <c r="Y143" s="111">
        <v>11.21</v>
      </c>
      <c r="AF143" s="95">
        <v>4</v>
      </c>
      <c r="AG143" s="44"/>
    </row>
    <row r="144" spans="1:33" ht="13.05" customHeight="1">
      <c r="A144" s="102" t="s">
        <v>150</v>
      </c>
      <c r="B144" s="103"/>
      <c r="C144" s="103"/>
      <c r="D144" s="103"/>
      <c r="E144" s="104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112"/>
      <c r="AF144" s="95">
        <v>4</v>
      </c>
      <c r="AG144" s="44"/>
    </row>
    <row r="145" spans="1:33" ht="13.05" customHeight="1">
      <c r="A145" s="105" t="s">
        <v>151</v>
      </c>
      <c r="B145" s="106"/>
      <c r="C145" s="106"/>
      <c r="D145" s="106"/>
      <c r="E145" s="107"/>
      <c r="F145" s="97">
        <v>21.49</v>
      </c>
      <c r="G145" s="97">
        <v>21.04</v>
      </c>
      <c r="H145" s="97">
        <v>20.84</v>
      </c>
      <c r="I145" s="97">
        <v>20.86</v>
      </c>
      <c r="J145" s="97">
        <v>20</v>
      </c>
      <c r="K145" s="97">
        <v>21.08</v>
      </c>
      <c r="L145" s="97">
        <v>21.4</v>
      </c>
      <c r="M145" s="97">
        <v>21.08</v>
      </c>
      <c r="N145" s="97">
        <v>20.41</v>
      </c>
      <c r="O145" s="97">
        <v>20.89</v>
      </c>
      <c r="P145" s="97">
        <v>20.43</v>
      </c>
      <c r="Q145" s="97">
        <v>21.64</v>
      </c>
      <c r="R145" s="97">
        <v>21.52</v>
      </c>
      <c r="S145" s="97">
        <v>21.44</v>
      </c>
      <c r="T145" s="97">
        <v>20.8</v>
      </c>
      <c r="U145" s="97">
        <v>20.45</v>
      </c>
      <c r="V145" s="97">
        <v>21.49</v>
      </c>
      <c r="W145" s="97">
        <v>21.62</v>
      </c>
      <c r="X145" s="97">
        <v>20.53</v>
      </c>
      <c r="Y145" s="111">
        <v>21.01</v>
      </c>
      <c r="AF145" s="95">
        <v>5</v>
      </c>
      <c r="AG145" s="44"/>
    </row>
    <row r="146" spans="1:33" ht="13.05" customHeight="1">
      <c r="A146" s="114" t="s">
        <v>152</v>
      </c>
      <c r="B146" s="103"/>
      <c r="C146" s="103"/>
      <c r="D146" s="103"/>
      <c r="E146" s="104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112"/>
      <c r="AF146" s="95">
        <v>5</v>
      </c>
      <c r="AG146" s="44"/>
    </row>
    <row r="147" spans="1:33" ht="13.05" customHeight="1">
      <c r="A147" s="105" t="s">
        <v>153</v>
      </c>
      <c r="B147" s="106"/>
      <c r="C147" s="106"/>
      <c r="D147" s="106"/>
      <c r="E147" s="107"/>
      <c r="F147" s="97">
        <v>126.15</v>
      </c>
      <c r="G147" s="97">
        <v>131.51</v>
      </c>
      <c r="H147" s="97">
        <v>131.49</v>
      </c>
      <c r="I147" s="97">
        <v>126.58</v>
      </c>
      <c r="J147" s="97">
        <v>129.29</v>
      </c>
      <c r="K147" s="97">
        <v>129.91</v>
      </c>
      <c r="L147" s="97">
        <v>127.64</v>
      </c>
      <c r="M147" s="97">
        <v>132.22999999999999</v>
      </c>
      <c r="N147" s="97">
        <v>128.91</v>
      </c>
      <c r="O147" s="97">
        <v>127.19</v>
      </c>
      <c r="P147" s="97">
        <v>129.78</v>
      </c>
      <c r="Q147" s="97">
        <v>131.35</v>
      </c>
      <c r="R147" s="97">
        <v>127.22</v>
      </c>
      <c r="S147" s="97">
        <v>128.01</v>
      </c>
      <c r="T147" s="97">
        <v>133.22</v>
      </c>
      <c r="U147" s="97">
        <v>130.59</v>
      </c>
      <c r="V147" s="97">
        <v>129.02000000000001</v>
      </c>
      <c r="W147" s="97">
        <v>129.68</v>
      </c>
      <c r="X147" s="97">
        <v>126.57</v>
      </c>
      <c r="Y147" s="111">
        <v>127.38</v>
      </c>
      <c r="AF147" s="95">
        <v>6</v>
      </c>
      <c r="AG147" s="44"/>
    </row>
    <row r="148" spans="1:33" ht="13.05" customHeight="1">
      <c r="A148" s="114" t="s">
        <v>154</v>
      </c>
      <c r="B148" s="103"/>
      <c r="C148" s="103"/>
      <c r="D148" s="103"/>
      <c r="E148" s="104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112"/>
      <c r="AF148" s="95">
        <v>6</v>
      </c>
      <c r="AG148" s="44"/>
    </row>
    <row r="149" spans="1:33" ht="13.05" customHeight="1">
      <c r="A149" s="105" t="s">
        <v>155</v>
      </c>
      <c r="B149" s="106"/>
      <c r="C149" s="106"/>
      <c r="D149" s="106"/>
      <c r="E149" s="107"/>
      <c r="F149" s="97" t="s">
        <v>156</v>
      </c>
      <c r="G149" s="97" t="s">
        <v>157</v>
      </c>
      <c r="H149" s="218" t="s">
        <v>158</v>
      </c>
      <c r="I149" s="97" t="s">
        <v>159</v>
      </c>
      <c r="J149" s="97" t="s">
        <v>160</v>
      </c>
      <c r="K149" s="97" t="s">
        <v>161</v>
      </c>
      <c r="L149" s="97" t="s">
        <v>162</v>
      </c>
      <c r="M149" s="97" t="s">
        <v>163</v>
      </c>
      <c r="N149" s="97" t="s">
        <v>164</v>
      </c>
      <c r="O149" s="97" t="s">
        <v>165</v>
      </c>
      <c r="P149" s="97" t="s">
        <v>166</v>
      </c>
      <c r="Q149" s="97"/>
      <c r="R149" s="97"/>
      <c r="S149" s="97"/>
      <c r="T149" s="97"/>
      <c r="U149" s="97"/>
      <c r="V149" s="97"/>
      <c r="W149" s="97"/>
      <c r="X149" s="97"/>
      <c r="Y149" s="111"/>
      <c r="AF149" s="95">
        <v>7</v>
      </c>
      <c r="AG149" s="44"/>
    </row>
    <row r="150" spans="1:33" ht="13.05" customHeight="1">
      <c r="A150" s="114" t="s">
        <v>167</v>
      </c>
      <c r="B150" s="103"/>
      <c r="C150" s="103"/>
      <c r="D150" s="103"/>
      <c r="E150" s="104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112"/>
      <c r="AF150" s="95">
        <v>7</v>
      </c>
      <c r="AG150" s="44"/>
    </row>
    <row r="151" spans="1:33" ht="13.05" hidden="1" customHeight="1">
      <c r="A151" s="105"/>
      <c r="B151" s="106"/>
      <c r="C151" s="106"/>
      <c r="D151" s="106"/>
      <c r="E151" s="10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111"/>
      <c r="AF151" s="95">
        <v>8</v>
      </c>
      <c r="AG151" s="44"/>
    </row>
    <row r="152" spans="1:33" ht="13.05" hidden="1" customHeight="1">
      <c r="A152" s="114"/>
      <c r="B152" s="103"/>
      <c r="C152" s="103"/>
      <c r="D152" s="103"/>
      <c r="E152" s="104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112"/>
      <c r="AF152" s="95">
        <v>8</v>
      </c>
      <c r="AG152" s="44"/>
    </row>
    <row r="153" spans="1:33" ht="13.05" hidden="1" customHeight="1">
      <c r="A153" s="105"/>
      <c r="B153" s="106"/>
      <c r="C153" s="106"/>
      <c r="D153" s="106"/>
      <c r="E153" s="10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111"/>
      <c r="AF153" s="95">
        <v>9</v>
      </c>
      <c r="AG153" s="44"/>
    </row>
    <row r="154" spans="1:33" ht="13.05" hidden="1" customHeight="1">
      <c r="A154" s="114"/>
      <c r="B154" s="103"/>
      <c r="C154" s="103"/>
      <c r="D154" s="103"/>
      <c r="E154" s="104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112"/>
      <c r="AF154" s="95">
        <v>9</v>
      </c>
      <c r="AG154" s="44"/>
    </row>
    <row r="155" spans="1:33" ht="13.05" hidden="1" customHeight="1">
      <c r="A155" s="105"/>
      <c r="B155" s="106"/>
      <c r="C155" s="106"/>
      <c r="D155" s="106"/>
      <c r="E155" s="10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111"/>
      <c r="AF155" s="95">
        <v>10</v>
      </c>
      <c r="AG155" s="44"/>
    </row>
    <row r="156" spans="1:33" ht="11.4" hidden="1" customHeight="1">
      <c r="A156" s="114"/>
      <c r="B156" s="103"/>
      <c r="C156" s="103"/>
      <c r="D156" s="103"/>
      <c r="E156" s="104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112"/>
      <c r="AF156" s="95">
        <v>10</v>
      </c>
      <c r="AG156" s="44"/>
    </row>
    <row r="157" spans="1:33" ht="13.05" hidden="1" customHeight="1">
      <c r="A157" s="105"/>
      <c r="B157" s="106"/>
      <c r="C157" s="106"/>
      <c r="D157" s="106"/>
      <c r="E157" s="10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111"/>
      <c r="AF157" s="95">
        <v>11</v>
      </c>
      <c r="AG157" s="44"/>
    </row>
    <row r="158" spans="1:33" ht="13.05" hidden="1" customHeight="1">
      <c r="A158" s="114"/>
      <c r="B158" s="103"/>
      <c r="C158" s="103"/>
      <c r="D158" s="103"/>
      <c r="E158" s="104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112"/>
      <c r="AF158" s="95">
        <v>11</v>
      </c>
      <c r="AG158" s="44"/>
    </row>
    <row r="159" spans="1:33" ht="13.05" hidden="1" customHeight="1">
      <c r="A159" s="105"/>
      <c r="B159" s="106"/>
      <c r="C159" s="106"/>
      <c r="D159" s="106"/>
      <c r="E159" s="10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111"/>
      <c r="AF159" s="95">
        <v>12</v>
      </c>
      <c r="AG159" s="44"/>
    </row>
    <row r="160" spans="1:33" ht="13.05" hidden="1" customHeight="1">
      <c r="A160" s="114"/>
      <c r="B160" s="103"/>
      <c r="C160" s="103"/>
      <c r="D160" s="103"/>
      <c r="E160" s="104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112"/>
      <c r="AF160" s="95">
        <v>12</v>
      </c>
      <c r="AG160" s="44"/>
    </row>
    <row r="161" spans="1:33" ht="13.05" hidden="1" customHeight="1">
      <c r="A161" s="105"/>
      <c r="B161" s="106"/>
      <c r="C161" s="106"/>
      <c r="D161" s="106"/>
      <c r="E161" s="10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111"/>
      <c r="AF161" s="95">
        <v>13</v>
      </c>
      <c r="AG161" s="44"/>
    </row>
    <row r="162" spans="1:33" ht="13.05" hidden="1" customHeight="1">
      <c r="A162" s="114"/>
      <c r="B162" s="103"/>
      <c r="C162" s="103"/>
      <c r="D162" s="103"/>
      <c r="E162" s="104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112"/>
      <c r="AF162" s="95">
        <v>13</v>
      </c>
      <c r="AG162" s="44"/>
    </row>
    <row r="163" spans="1:33" ht="13.05" hidden="1" customHeight="1">
      <c r="A163" s="105"/>
      <c r="B163" s="106"/>
      <c r="C163" s="106"/>
      <c r="D163" s="106"/>
      <c r="E163" s="10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111"/>
      <c r="AF163" s="95">
        <v>14</v>
      </c>
      <c r="AG163" s="44"/>
    </row>
    <row r="164" spans="1:33" ht="13.05" hidden="1" customHeight="1">
      <c r="A164" s="114"/>
      <c r="B164" s="103"/>
      <c r="C164" s="103"/>
      <c r="D164" s="103"/>
      <c r="E164" s="104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112"/>
      <c r="AF164" s="95">
        <v>14</v>
      </c>
      <c r="AG164" s="44"/>
    </row>
    <row r="165" spans="1:33" ht="13.05" hidden="1" customHeight="1">
      <c r="A165" s="105"/>
      <c r="B165" s="106"/>
      <c r="C165" s="106"/>
      <c r="D165" s="106"/>
      <c r="E165" s="10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111"/>
      <c r="AF165" s="95">
        <v>15</v>
      </c>
      <c r="AG165" s="44"/>
    </row>
    <row r="166" spans="1:33" ht="13.05" hidden="1" customHeight="1">
      <c r="A166" s="114"/>
      <c r="B166" s="103"/>
      <c r="C166" s="103"/>
      <c r="D166" s="103"/>
      <c r="E166" s="104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112"/>
      <c r="AF166" s="95">
        <v>15</v>
      </c>
      <c r="AG166" s="44"/>
    </row>
    <row r="167" spans="1:33" ht="13.05" hidden="1" customHeight="1">
      <c r="A167" s="105"/>
      <c r="B167" s="106"/>
      <c r="C167" s="106"/>
      <c r="D167" s="106"/>
      <c r="E167" s="10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111"/>
      <c r="AF167" s="95">
        <v>16</v>
      </c>
      <c r="AG167" s="44"/>
    </row>
    <row r="168" spans="1:33" ht="13.05" hidden="1" customHeight="1">
      <c r="A168" s="114"/>
      <c r="B168" s="103"/>
      <c r="C168" s="103"/>
      <c r="D168" s="103"/>
      <c r="E168" s="104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112"/>
      <c r="AF168" s="95">
        <v>16</v>
      </c>
      <c r="AG168" s="44"/>
    </row>
    <row r="169" spans="1:33" ht="13.05" hidden="1" customHeight="1">
      <c r="A169" s="105"/>
      <c r="B169" s="106"/>
      <c r="C169" s="106"/>
      <c r="D169" s="106"/>
      <c r="E169" s="10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111"/>
      <c r="AF169" s="95">
        <v>17</v>
      </c>
      <c r="AG169" s="44"/>
    </row>
    <row r="170" spans="1:33" ht="13.05" hidden="1" customHeight="1">
      <c r="A170" s="114"/>
      <c r="B170" s="103"/>
      <c r="C170" s="103"/>
      <c r="D170" s="103"/>
      <c r="E170" s="104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112"/>
      <c r="AF170" s="95">
        <v>17</v>
      </c>
      <c r="AG170" s="44"/>
    </row>
    <row r="171" spans="1:33" ht="13.05" hidden="1" customHeight="1">
      <c r="A171" s="105"/>
      <c r="B171" s="106"/>
      <c r="C171" s="106"/>
      <c r="D171" s="106"/>
      <c r="E171" s="10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111"/>
      <c r="AF171" s="95">
        <v>18</v>
      </c>
      <c r="AG171" s="44"/>
    </row>
    <row r="172" spans="1:33" ht="13.05" hidden="1" customHeight="1">
      <c r="A172" s="114"/>
      <c r="B172" s="103"/>
      <c r="C172" s="103"/>
      <c r="D172" s="103"/>
      <c r="E172" s="104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112"/>
      <c r="AF172" s="95">
        <v>18</v>
      </c>
      <c r="AG172" s="44"/>
    </row>
    <row r="173" spans="1:33" ht="13.05" hidden="1" customHeight="1">
      <c r="A173" s="105"/>
      <c r="B173" s="106"/>
      <c r="C173" s="106"/>
      <c r="D173" s="106"/>
      <c r="E173" s="10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111"/>
      <c r="AF173" s="95">
        <v>19</v>
      </c>
      <c r="AG173" s="44"/>
    </row>
    <row r="174" spans="1:33" ht="13.05" hidden="1" customHeight="1">
      <c r="A174" s="114"/>
      <c r="B174" s="103"/>
      <c r="C174" s="103"/>
      <c r="D174" s="103"/>
      <c r="E174" s="104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112"/>
      <c r="AF174" s="95">
        <v>19</v>
      </c>
      <c r="AG174" s="44"/>
    </row>
    <row r="175" spans="1:33" ht="13.05" hidden="1" customHeight="1">
      <c r="A175" s="105"/>
      <c r="B175" s="106"/>
      <c r="C175" s="106"/>
      <c r="D175" s="106"/>
      <c r="E175" s="10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111"/>
      <c r="AF175" s="95">
        <v>20</v>
      </c>
      <c r="AG175" s="44"/>
    </row>
    <row r="176" spans="1:33" ht="13.05" hidden="1" customHeight="1">
      <c r="A176" s="114"/>
      <c r="B176" s="103"/>
      <c r="C176" s="103"/>
      <c r="D176" s="103"/>
      <c r="E176" s="104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112"/>
      <c r="AF176" s="95">
        <v>20</v>
      </c>
      <c r="AG176" s="44"/>
    </row>
    <row r="177" spans="1:33" ht="13.05" hidden="1" customHeight="1">
      <c r="A177" s="105"/>
      <c r="B177" s="106"/>
      <c r="C177" s="106"/>
      <c r="D177" s="106"/>
      <c r="E177" s="10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111"/>
      <c r="AF177" s="95">
        <v>21</v>
      </c>
      <c r="AG177" s="44"/>
    </row>
    <row r="178" spans="1:33" ht="13.05" hidden="1" customHeight="1">
      <c r="A178" s="114"/>
      <c r="B178" s="103"/>
      <c r="C178" s="103"/>
      <c r="D178" s="103"/>
      <c r="E178" s="104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112"/>
      <c r="AF178" s="95">
        <v>21</v>
      </c>
      <c r="AG178" s="44"/>
    </row>
    <row r="179" spans="1:33" ht="13.05" hidden="1" customHeight="1">
      <c r="A179" s="105"/>
      <c r="B179" s="106"/>
      <c r="C179" s="106"/>
      <c r="D179" s="106"/>
      <c r="E179" s="10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111"/>
      <c r="AF179" s="95">
        <v>22</v>
      </c>
      <c r="AG179" s="44"/>
    </row>
    <row r="180" spans="1:33" ht="13.05" hidden="1" customHeight="1">
      <c r="A180" s="114"/>
      <c r="B180" s="103"/>
      <c r="C180" s="103"/>
      <c r="D180" s="103"/>
      <c r="E180" s="104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112"/>
      <c r="Z180" s="11"/>
      <c r="AA180" s="11"/>
      <c r="AB180" s="11"/>
      <c r="AC180" s="11"/>
      <c r="AD180" s="11"/>
      <c r="AE180" s="11"/>
      <c r="AF180" s="95">
        <v>22</v>
      </c>
      <c r="AG180" s="44"/>
    </row>
    <row r="181" spans="1:33" ht="13.05" hidden="1" customHeight="1">
      <c r="A181" s="105"/>
      <c r="B181" s="106"/>
      <c r="C181" s="106"/>
      <c r="D181" s="106"/>
      <c r="E181" s="10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111"/>
      <c r="Z181" s="11"/>
      <c r="AA181" s="11"/>
      <c r="AB181" s="11"/>
      <c r="AC181" s="11"/>
      <c r="AD181" s="11"/>
      <c r="AE181" s="11"/>
      <c r="AF181" s="95">
        <v>23</v>
      </c>
      <c r="AG181" s="44"/>
    </row>
    <row r="182" spans="1:33" ht="13.05" hidden="1" customHeight="1">
      <c r="A182" s="114"/>
      <c r="B182" s="103"/>
      <c r="C182" s="103"/>
      <c r="D182" s="103"/>
      <c r="E182" s="104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112"/>
      <c r="Z182" s="11"/>
      <c r="AA182" s="11"/>
      <c r="AB182" s="11"/>
      <c r="AC182" s="11"/>
      <c r="AD182" s="11"/>
      <c r="AE182" s="11"/>
      <c r="AF182" s="95">
        <v>23</v>
      </c>
      <c r="AG182" s="44"/>
    </row>
    <row r="183" spans="1:33" ht="13.05" hidden="1" customHeight="1">
      <c r="A183" s="105"/>
      <c r="B183" s="106"/>
      <c r="C183" s="106"/>
      <c r="D183" s="106"/>
      <c r="E183" s="10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111"/>
      <c r="Z183" s="11"/>
      <c r="AA183" s="11"/>
      <c r="AB183" s="11"/>
      <c r="AC183" s="11"/>
      <c r="AD183" s="11"/>
      <c r="AE183" s="11"/>
      <c r="AF183" s="95">
        <v>24</v>
      </c>
      <c r="AG183" s="44"/>
    </row>
    <row r="184" spans="1:33" ht="13.05" hidden="1" customHeight="1">
      <c r="A184" s="102"/>
      <c r="B184" s="103"/>
      <c r="C184" s="103"/>
      <c r="D184" s="103"/>
      <c r="E184" s="104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112"/>
      <c r="Z184" s="11"/>
      <c r="AA184" s="11"/>
      <c r="AB184" s="11"/>
      <c r="AC184" s="11"/>
      <c r="AD184" s="11"/>
      <c r="AE184" s="11"/>
      <c r="AF184" s="95">
        <v>24</v>
      </c>
      <c r="AG184" s="44"/>
    </row>
    <row r="185" spans="1:33" ht="13.05" hidden="1" customHeight="1">
      <c r="A185" s="105"/>
      <c r="B185" s="106"/>
      <c r="C185" s="106"/>
      <c r="D185" s="106"/>
      <c r="E185" s="10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111"/>
      <c r="Z185" s="11"/>
      <c r="AA185" s="11"/>
      <c r="AB185" s="11"/>
      <c r="AC185" s="11"/>
      <c r="AD185" s="11"/>
      <c r="AE185" s="11"/>
      <c r="AF185" s="95">
        <v>25</v>
      </c>
      <c r="AG185" s="44"/>
    </row>
    <row r="186" spans="1:33" ht="13.05" hidden="1" customHeight="1">
      <c r="A186" s="114"/>
      <c r="B186" s="103"/>
      <c r="C186" s="103"/>
      <c r="D186" s="103"/>
      <c r="E186" s="104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112"/>
      <c r="Z186" s="11"/>
      <c r="AA186" s="11"/>
      <c r="AB186" s="11"/>
      <c r="AC186" s="11"/>
      <c r="AD186" s="11"/>
      <c r="AE186" s="11"/>
      <c r="AF186" s="95">
        <v>25</v>
      </c>
      <c r="AG186" s="44"/>
    </row>
    <row r="187" spans="1:33" ht="13.05" hidden="1" customHeight="1">
      <c r="A187" s="105"/>
      <c r="B187" s="106"/>
      <c r="C187" s="106"/>
      <c r="D187" s="106"/>
      <c r="E187" s="10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111"/>
      <c r="AF187" s="95">
        <v>26</v>
      </c>
      <c r="AG187" s="44"/>
    </row>
    <row r="188" spans="1:33" ht="13.05" hidden="1" customHeight="1">
      <c r="A188" s="114"/>
      <c r="B188" s="103"/>
      <c r="C188" s="103"/>
      <c r="D188" s="103"/>
      <c r="E188" s="104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112"/>
      <c r="AF188" s="95">
        <v>26</v>
      </c>
      <c r="AG188" s="44"/>
    </row>
    <row r="189" spans="1:33" ht="13.05" hidden="1" customHeight="1">
      <c r="A189" s="105"/>
      <c r="B189" s="106"/>
      <c r="C189" s="106"/>
      <c r="D189" s="106"/>
      <c r="E189" s="10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111"/>
      <c r="AF189" s="95">
        <v>27</v>
      </c>
      <c r="AG189" s="44"/>
    </row>
    <row r="190" spans="1:33" ht="13.05" hidden="1" customHeight="1">
      <c r="A190" s="114"/>
      <c r="B190" s="103"/>
      <c r="C190" s="103"/>
      <c r="D190" s="103"/>
      <c r="E190" s="104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112"/>
      <c r="AF190" s="95">
        <v>27</v>
      </c>
      <c r="AG190" s="44"/>
    </row>
    <row r="191" spans="1:33" ht="13.05" hidden="1" customHeight="1">
      <c r="A191" s="105"/>
      <c r="B191" s="106"/>
      <c r="C191" s="106"/>
      <c r="D191" s="106"/>
      <c r="E191" s="10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111"/>
      <c r="AF191" s="95">
        <v>28</v>
      </c>
      <c r="AG191" s="44"/>
    </row>
    <row r="192" spans="1:33" ht="13.05" hidden="1" customHeight="1">
      <c r="A192" s="114"/>
      <c r="B192" s="103"/>
      <c r="C192" s="103"/>
      <c r="D192" s="103"/>
      <c r="E192" s="104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112"/>
      <c r="AF192" s="95">
        <v>28</v>
      </c>
      <c r="AG192" s="44"/>
    </row>
    <row r="193" spans="1:33" ht="13.05" hidden="1" customHeight="1">
      <c r="A193" s="105"/>
      <c r="B193" s="106"/>
      <c r="C193" s="106"/>
      <c r="D193" s="106"/>
      <c r="E193" s="10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111"/>
      <c r="AF193" s="95">
        <v>29</v>
      </c>
      <c r="AG193" s="44"/>
    </row>
    <row r="194" spans="1:33" ht="13.05" hidden="1" customHeight="1">
      <c r="A194" s="114"/>
      <c r="B194" s="103"/>
      <c r="C194" s="103"/>
      <c r="D194" s="103"/>
      <c r="E194" s="104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112"/>
      <c r="AF194" s="95">
        <v>29</v>
      </c>
      <c r="AG194" s="44"/>
    </row>
    <row r="195" spans="1:33" ht="13.05" hidden="1" customHeight="1">
      <c r="A195" s="105"/>
      <c r="B195" s="106"/>
      <c r="C195" s="106"/>
      <c r="D195" s="106"/>
      <c r="E195" s="10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111"/>
      <c r="Z195" s="11"/>
      <c r="AA195" s="11"/>
      <c r="AB195" s="11"/>
      <c r="AC195" s="11"/>
      <c r="AD195" s="11"/>
      <c r="AE195" s="11"/>
      <c r="AF195" s="95">
        <v>30</v>
      </c>
      <c r="AG195" s="44"/>
    </row>
    <row r="196" spans="1:33" ht="13.05" hidden="1" customHeight="1">
      <c r="A196" s="114"/>
      <c r="B196" s="103"/>
      <c r="C196" s="103"/>
      <c r="D196" s="103"/>
      <c r="E196" s="104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112"/>
      <c r="AF196" s="95">
        <v>30</v>
      </c>
      <c r="AG196" s="44"/>
    </row>
    <row r="197" spans="1:33" ht="13.05" hidden="1" customHeight="1">
      <c r="A197" s="105"/>
      <c r="B197" s="106"/>
      <c r="C197" s="106"/>
      <c r="D197" s="106"/>
      <c r="E197" s="10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111"/>
      <c r="AF197" s="95">
        <v>31</v>
      </c>
      <c r="AG197" s="44"/>
    </row>
    <row r="198" spans="1:33" ht="13.05" hidden="1" customHeight="1">
      <c r="A198" s="114"/>
      <c r="B198" s="103"/>
      <c r="C198" s="103"/>
      <c r="D198" s="103"/>
      <c r="E198" s="104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112"/>
      <c r="AF198" s="95">
        <v>31</v>
      </c>
      <c r="AG198" s="44"/>
    </row>
    <row r="199" spans="1:33" ht="13.05" hidden="1" customHeight="1">
      <c r="A199" s="105"/>
      <c r="B199" s="106"/>
      <c r="C199" s="106"/>
      <c r="D199" s="106"/>
      <c r="E199" s="10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111"/>
      <c r="AF199" s="95">
        <v>32</v>
      </c>
      <c r="AG199" s="44"/>
    </row>
    <row r="200" spans="1:33" ht="13.05" hidden="1" customHeight="1">
      <c r="A200" s="114"/>
      <c r="B200" s="103"/>
      <c r="C200" s="103"/>
      <c r="D200" s="103"/>
      <c r="E200" s="104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112"/>
      <c r="AF200" s="95">
        <v>32</v>
      </c>
      <c r="AG200" s="44"/>
    </row>
    <row r="201" spans="1:33" ht="13.05" hidden="1" customHeight="1">
      <c r="A201" s="105"/>
      <c r="B201" s="106"/>
      <c r="C201" s="106"/>
      <c r="D201" s="106"/>
      <c r="E201" s="10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111"/>
      <c r="AF201" s="95">
        <v>33</v>
      </c>
      <c r="AG201" s="44"/>
    </row>
    <row r="202" spans="1:33" ht="13.05" hidden="1" customHeight="1">
      <c r="A202" s="114"/>
      <c r="B202" s="103"/>
      <c r="C202" s="103"/>
      <c r="D202" s="103"/>
      <c r="E202" s="104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112"/>
      <c r="AF202" s="95">
        <v>33</v>
      </c>
      <c r="AG202" s="44"/>
    </row>
    <row r="203" spans="1:33" ht="13.05" hidden="1" customHeight="1">
      <c r="A203" s="105"/>
      <c r="B203" s="106"/>
      <c r="C203" s="106"/>
      <c r="D203" s="106"/>
      <c r="E203" s="10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111"/>
      <c r="AF203" s="95">
        <v>34</v>
      </c>
      <c r="AG203" s="44"/>
    </row>
    <row r="204" spans="1:33" ht="13.05" hidden="1" customHeight="1">
      <c r="A204" s="114"/>
      <c r="B204" s="103"/>
      <c r="C204" s="103"/>
      <c r="D204" s="103"/>
      <c r="E204" s="104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112"/>
      <c r="AF204" s="95">
        <v>34</v>
      </c>
      <c r="AG204" s="44"/>
    </row>
    <row r="205" spans="1:33" ht="13.05" hidden="1" customHeight="1">
      <c r="A205" s="105"/>
      <c r="B205" s="106"/>
      <c r="C205" s="106"/>
      <c r="D205" s="106"/>
      <c r="E205" s="10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111"/>
      <c r="AF205" s="95">
        <v>35</v>
      </c>
      <c r="AG205" s="44"/>
    </row>
    <row r="206" spans="1:33" ht="13.05" hidden="1" customHeight="1">
      <c r="A206" s="114"/>
      <c r="B206" s="103"/>
      <c r="C206" s="103"/>
      <c r="D206" s="103"/>
      <c r="E206" s="104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112"/>
      <c r="AF206" s="95">
        <v>35</v>
      </c>
      <c r="AG206" s="44"/>
    </row>
    <row r="207" spans="1:33" ht="13.05" hidden="1" customHeight="1">
      <c r="A207" s="105"/>
      <c r="B207" s="106"/>
      <c r="C207" s="106"/>
      <c r="D207" s="106"/>
      <c r="E207" s="10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111"/>
      <c r="AF207" s="95">
        <v>36</v>
      </c>
      <c r="AG207" s="44"/>
    </row>
    <row r="208" spans="1:33" ht="13.05" hidden="1" customHeight="1">
      <c r="A208" s="114"/>
      <c r="B208" s="103"/>
      <c r="C208" s="103"/>
      <c r="D208" s="103"/>
      <c r="E208" s="104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112"/>
      <c r="AF208" s="95">
        <v>36</v>
      </c>
      <c r="AG208" s="44"/>
    </row>
    <row r="209" spans="1:33" ht="13.05" hidden="1" customHeight="1">
      <c r="A209" s="105"/>
      <c r="B209" s="106"/>
      <c r="C209" s="106"/>
      <c r="D209" s="106"/>
      <c r="E209" s="10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111"/>
      <c r="AF209" s="95">
        <v>37</v>
      </c>
      <c r="AG209" s="44"/>
    </row>
    <row r="210" spans="1:33" ht="13.05" hidden="1" customHeight="1">
      <c r="A210" s="114"/>
      <c r="B210" s="103"/>
      <c r="C210" s="103"/>
      <c r="D210" s="103"/>
      <c r="E210" s="104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112"/>
      <c r="AF210" s="95">
        <v>37</v>
      </c>
      <c r="AG210" s="44"/>
    </row>
    <row r="211" spans="1:33" ht="13.05" hidden="1" customHeight="1">
      <c r="A211" s="105"/>
      <c r="B211" s="106"/>
      <c r="C211" s="106"/>
      <c r="D211" s="106"/>
      <c r="E211" s="10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111"/>
      <c r="AF211" s="95">
        <v>38</v>
      </c>
      <c r="AG211" s="44"/>
    </row>
    <row r="212" spans="1:33" ht="13.05" hidden="1" customHeight="1">
      <c r="A212" s="114"/>
      <c r="B212" s="103"/>
      <c r="C212" s="103"/>
      <c r="D212" s="103"/>
      <c r="E212" s="104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112"/>
      <c r="AF212" s="95">
        <v>38</v>
      </c>
      <c r="AG212" s="44"/>
    </row>
    <row r="213" spans="1:33" ht="13.05" hidden="1" customHeight="1">
      <c r="A213" s="105"/>
      <c r="B213" s="106"/>
      <c r="C213" s="106"/>
      <c r="D213" s="106"/>
      <c r="E213" s="10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111"/>
      <c r="AF213" s="95">
        <v>39</v>
      </c>
      <c r="AG213" s="44"/>
    </row>
    <row r="214" spans="1:33" ht="13.05" hidden="1" customHeight="1">
      <c r="A214" s="114"/>
      <c r="B214" s="103"/>
      <c r="C214" s="103"/>
      <c r="D214" s="103"/>
      <c r="E214" s="104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112"/>
      <c r="AF214" s="95">
        <v>39</v>
      </c>
      <c r="AG214" s="44"/>
    </row>
    <row r="215" spans="1:33" ht="13.05" hidden="1" customHeight="1">
      <c r="A215" s="105"/>
      <c r="B215" s="106"/>
      <c r="C215" s="106"/>
      <c r="D215" s="106"/>
      <c r="E215" s="10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111"/>
      <c r="AF215" s="95">
        <v>40</v>
      </c>
      <c r="AG215" s="44"/>
    </row>
    <row r="216" spans="1:33" ht="13.05" hidden="1" customHeight="1">
      <c r="A216" s="114"/>
      <c r="B216" s="103"/>
      <c r="C216" s="103"/>
      <c r="D216" s="103"/>
      <c r="E216" s="104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112"/>
      <c r="AF216" s="95">
        <v>40</v>
      </c>
      <c r="AG216" s="44"/>
    </row>
    <row r="217" spans="1:33" ht="11.4" customHeight="1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AG217" s="44"/>
    </row>
    <row r="218" spans="1:33" ht="10.5" customHeight="1">
      <c r="A218" s="15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4"/>
      <c r="N218" s="10"/>
      <c r="O218" s="13"/>
      <c r="P218" s="13"/>
      <c r="Q218" s="13"/>
      <c r="R218" s="13"/>
      <c r="S218" s="14"/>
      <c r="T218" s="14"/>
      <c r="U218" s="13"/>
      <c r="V218" s="13"/>
      <c r="W218" s="13"/>
      <c r="X218" s="13"/>
      <c r="Y218" s="13"/>
      <c r="AG218" s="44"/>
    </row>
    <row r="219" spans="1:33" ht="10.5" customHeight="1">
      <c r="A219" s="32" t="s">
        <v>168</v>
      </c>
      <c r="B219" s="13"/>
      <c r="C219" s="13"/>
      <c r="D219" s="13"/>
      <c r="E219" s="13"/>
      <c r="F219" s="13"/>
      <c r="G219" s="13"/>
      <c r="H219" s="13"/>
      <c r="I219" s="13"/>
      <c r="J219" s="13"/>
      <c r="K219" s="15"/>
      <c r="L219" s="13"/>
      <c r="M219" s="13"/>
      <c r="N219" s="4"/>
      <c r="O219" s="4"/>
      <c r="P219" s="13"/>
      <c r="Q219" s="13"/>
      <c r="R219" s="14"/>
      <c r="S219" s="14"/>
      <c r="T219" s="14"/>
      <c r="U219" s="13"/>
      <c r="V219" s="13"/>
      <c r="W219" s="13"/>
      <c r="X219" s="13"/>
      <c r="Y219" s="13"/>
      <c r="AG219" s="44"/>
    </row>
    <row r="220" spans="1:33" ht="10.050000000000001" customHeight="1">
      <c r="A220" s="209" t="s">
        <v>169</v>
      </c>
      <c r="B220" s="210"/>
      <c r="C220" s="210"/>
      <c r="D220" s="210"/>
      <c r="E220" s="211"/>
      <c r="F220" s="222">
        <v>1</v>
      </c>
      <c r="G220" s="115">
        <v>2</v>
      </c>
      <c r="H220" s="115">
        <v>3</v>
      </c>
      <c r="I220" s="115">
        <v>4</v>
      </c>
      <c r="J220" s="115">
        <v>5</v>
      </c>
      <c r="K220" s="115">
        <v>6</v>
      </c>
      <c r="L220" s="115">
        <v>7</v>
      </c>
      <c r="M220" s="115">
        <v>8</v>
      </c>
      <c r="N220" s="115">
        <v>9</v>
      </c>
      <c r="O220" s="115">
        <v>10</v>
      </c>
      <c r="P220" s="115">
        <v>11</v>
      </c>
      <c r="Q220" s="115">
        <v>12</v>
      </c>
      <c r="R220" s="115">
        <v>13</v>
      </c>
      <c r="S220" s="115">
        <v>14</v>
      </c>
      <c r="T220" s="115">
        <v>15</v>
      </c>
      <c r="U220" s="115">
        <v>16</v>
      </c>
      <c r="V220" s="115">
        <v>17</v>
      </c>
      <c r="W220" s="115">
        <v>18</v>
      </c>
      <c r="X220" s="115">
        <v>19</v>
      </c>
      <c r="Y220" s="166">
        <v>20</v>
      </c>
      <c r="AG220" s="44"/>
    </row>
    <row r="221" spans="1:33" ht="10.050000000000001" customHeight="1">
      <c r="A221" s="190" t="s">
        <v>139</v>
      </c>
      <c r="B221" s="184"/>
      <c r="C221" s="184"/>
      <c r="D221" s="184"/>
      <c r="E221" s="191"/>
      <c r="F221" s="223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67"/>
      <c r="Z221" s="35" t="s">
        <v>46</v>
      </c>
      <c r="AA221" s="43"/>
      <c r="AB221" s="43"/>
      <c r="AC221" s="43"/>
      <c r="AD221" s="43"/>
      <c r="AE221" s="62"/>
      <c r="AF221" s="44"/>
      <c r="AG221" s="44"/>
    </row>
    <row r="222" spans="1:33" ht="10.199999999999999" hidden="1" customHeight="1">
      <c r="A222" s="157"/>
      <c r="B222" s="109"/>
      <c r="C222" s="109"/>
      <c r="D222" s="109"/>
      <c r="E222" s="109"/>
      <c r="F222" s="21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220"/>
      <c r="AG222" s="11" t="s">
        <v>140</v>
      </c>
    </row>
    <row r="223" spans="1:33" ht="10.199999999999999" hidden="1" customHeight="1">
      <c r="A223" s="157"/>
      <c r="B223" s="109"/>
      <c r="C223" s="109"/>
      <c r="D223" s="109"/>
      <c r="E223" s="109"/>
      <c r="F223" s="21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220"/>
      <c r="AG223" s="11" t="s">
        <v>141</v>
      </c>
    </row>
    <row r="224" spans="1:33" ht="10.199999999999999" hidden="1" customHeight="1">
      <c r="A224" s="204"/>
      <c r="B224" s="109"/>
      <c r="C224" s="109"/>
      <c r="D224" s="109"/>
      <c r="E224" s="110"/>
      <c r="F224" s="208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AG224" s="11" t="s">
        <v>142</v>
      </c>
    </row>
    <row r="225" spans="1:33" ht="10.199999999999999" customHeight="1">
      <c r="A225" s="140" t="s">
        <v>170</v>
      </c>
      <c r="B225" s="141"/>
      <c r="C225" s="141"/>
      <c r="D225" s="141"/>
      <c r="E225" s="142"/>
      <c r="F225" s="97">
        <v>4.46</v>
      </c>
      <c r="G225" s="97">
        <v>5.63</v>
      </c>
      <c r="H225" s="97">
        <v>5.8</v>
      </c>
      <c r="I225" s="97">
        <v>3.54</v>
      </c>
      <c r="J225" s="97">
        <v>4.68</v>
      </c>
      <c r="K225" s="97">
        <v>5.95</v>
      </c>
      <c r="L225" s="97">
        <v>5</v>
      </c>
      <c r="M225" s="97">
        <v>4.53</v>
      </c>
      <c r="N225" s="97">
        <v>4.71</v>
      </c>
      <c r="O225" s="97">
        <v>6</v>
      </c>
      <c r="P225" s="97">
        <v>4.8</v>
      </c>
      <c r="Q225" s="97">
        <v>4.97</v>
      </c>
      <c r="R225" s="97">
        <v>4.43</v>
      </c>
      <c r="S225" s="97">
        <v>5</v>
      </c>
      <c r="T225" s="97">
        <v>5.15</v>
      </c>
      <c r="U225" s="97">
        <v>4.72</v>
      </c>
      <c r="V225" s="97">
        <v>4.99</v>
      </c>
      <c r="W225" s="97">
        <v>5.9</v>
      </c>
      <c r="X225" s="97">
        <v>5.12</v>
      </c>
      <c r="Y225" s="111">
        <v>5.19</v>
      </c>
      <c r="AF225" s="212"/>
      <c r="AG225" s="94">
        <v>1</v>
      </c>
    </row>
    <row r="226" spans="1:33" ht="10.199999999999999" customHeight="1">
      <c r="A226" s="189" t="s">
        <v>171</v>
      </c>
      <c r="B226" s="103"/>
      <c r="C226" s="103"/>
      <c r="D226" s="103"/>
      <c r="E226" s="104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112"/>
      <c r="AF226" s="118"/>
      <c r="AG226" s="94">
        <v>1</v>
      </c>
    </row>
    <row r="227" spans="1:33" ht="10.199999999999999" customHeight="1">
      <c r="A227" s="140" t="s">
        <v>172</v>
      </c>
      <c r="B227" s="141"/>
      <c r="C227" s="141"/>
      <c r="D227" s="141"/>
      <c r="E227" s="142"/>
      <c r="F227" s="97" t="s">
        <v>173</v>
      </c>
      <c r="G227" s="97" t="s">
        <v>173</v>
      </c>
      <c r="H227" s="97" t="s">
        <v>173</v>
      </c>
      <c r="I227" s="97" t="s">
        <v>173</v>
      </c>
      <c r="J227" s="97" t="s">
        <v>173</v>
      </c>
      <c r="K227" s="97" t="s">
        <v>173</v>
      </c>
      <c r="L227" s="97" t="s">
        <v>173</v>
      </c>
      <c r="M227" s="97" t="s">
        <v>173</v>
      </c>
      <c r="N227" s="97" t="s">
        <v>173</v>
      </c>
      <c r="O227" s="97" t="s">
        <v>173</v>
      </c>
      <c r="P227" s="97" t="s">
        <v>173</v>
      </c>
      <c r="Q227" s="97" t="s">
        <v>173</v>
      </c>
      <c r="R227" s="97" t="s">
        <v>173</v>
      </c>
      <c r="S227" s="97" t="s">
        <v>173</v>
      </c>
      <c r="T227" s="97" t="s">
        <v>173</v>
      </c>
      <c r="U227" s="97" t="s">
        <v>173</v>
      </c>
      <c r="V227" s="97" t="s">
        <v>173</v>
      </c>
      <c r="W227" s="97" t="s">
        <v>173</v>
      </c>
      <c r="X227" s="97" t="s">
        <v>173</v>
      </c>
      <c r="Y227" s="111" t="s">
        <v>173</v>
      </c>
      <c r="AF227" s="212"/>
      <c r="AG227" s="94">
        <v>2</v>
      </c>
    </row>
    <row r="228" spans="1:33" ht="10.199999999999999" customHeight="1">
      <c r="A228" s="102" t="s">
        <v>174</v>
      </c>
      <c r="B228" s="103"/>
      <c r="C228" s="103"/>
      <c r="D228" s="103"/>
      <c r="E228" s="104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112"/>
      <c r="AF228" s="118"/>
      <c r="AG228" s="94">
        <v>2</v>
      </c>
    </row>
    <row r="229" spans="1:33" ht="10.199999999999999" customHeight="1">
      <c r="A229" s="140" t="s">
        <v>175</v>
      </c>
      <c r="B229" s="141"/>
      <c r="C229" s="141"/>
      <c r="D229" s="141"/>
      <c r="E229" s="142"/>
      <c r="F229" s="97">
        <v>5.42</v>
      </c>
      <c r="G229" s="97">
        <v>5.19</v>
      </c>
      <c r="H229" s="97">
        <v>5.64</v>
      </c>
      <c r="I229" s="97">
        <v>4.37</v>
      </c>
      <c r="J229" s="97">
        <v>5.54</v>
      </c>
      <c r="K229" s="97">
        <v>5.09</v>
      </c>
      <c r="L229" s="97">
        <v>5.44</v>
      </c>
      <c r="M229" s="97">
        <v>5.88</v>
      </c>
      <c r="N229" s="97">
        <v>5.62</v>
      </c>
      <c r="O229" s="97">
        <v>5.16</v>
      </c>
      <c r="P229" s="97">
        <v>5.4</v>
      </c>
      <c r="Q229" s="97">
        <v>5.61</v>
      </c>
      <c r="R229" s="97">
        <v>5.87</v>
      </c>
      <c r="S229" s="97">
        <v>5.71</v>
      </c>
      <c r="T229" s="97">
        <v>5.12</v>
      </c>
      <c r="U229" s="97">
        <v>5.32</v>
      </c>
      <c r="V229" s="97">
        <v>4.46</v>
      </c>
      <c r="W229" s="97">
        <v>4.18</v>
      </c>
      <c r="X229" s="97">
        <v>5.42</v>
      </c>
      <c r="Y229" s="111">
        <v>5.07</v>
      </c>
      <c r="AG229" s="94">
        <v>3</v>
      </c>
    </row>
    <row r="230" spans="1:33" ht="10.199999999999999" customHeight="1">
      <c r="A230" s="102" t="s">
        <v>176</v>
      </c>
      <c r="B230" s="103"/>
      <c r="C230" s="103"/>
      <c r="D230" s="103"/>
      <c r="E230" s="104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112"/>
      <c r="AG230" s="94">
        <v>3</v>
      </c>
    </row>
    <row r="231" spans="1:33" ht="10.199999999999999" customHeight="1">
      <c r="A231" s="140" t="s">
        <v>177</v>
      </c>
      <c r="B231" s="141"/>
      <c r="C231" s="141"/>
      <c r="D231" s="141"/>
      <c r="E231" s="142"/>
      <c r="F231" s="97">
        <v>4.5599999999999996</v>
      </c>
      <c r="G231" s="97">
        <v>4.03</v>
      </c>
      <c r="H231" s="97">
        <v>4.55</v>
      </c>
      <c r="I231" s="97">
        <v>4.26</v>
      </c>
      <c r="J231" s="97">
        <v>4.66</v>
      </c>
      <c r="K231" s="97">
        <v>4.0199999999999996</v>
      </c>
      <c r="L231" s="97">
        <v>4.43</v>
      </c>
      <c r="M231" s="97">
        <v>4.66</v>
      </c>
      <c r="N231" s="97">
        <v>3.68</v>
      </c>
      <c r="O231" s="97">
        <v>4.13</v>
      </c>
      <c r="P231" s="97">
        <v>4.43</v>
      </c>
      <c r="Q231" s="97">
        <v>5.41</v>
      </c>
      <c r="R231" s="97">
        <v>3.74</v>
      </c>
      <c r="S231" s="97">
        <v>3.87</v>
      </c>
      <c r="T231" s="97">
        <v>4.1100000000000003</v>
      </c>
      <c r="U231" s="97">
        <v>3.84</v>
      </c>
      <c r="V231" s="97">
        <v>3.88</v>
      </c>
      <c r="W231" s="97">
        <v>2.87</v>
      </c>
      <c r="X231" s="97">
        <v>4.6500000000000004</v>
      </c>
      <c r="Y231" s="111">
        <v>3.82</v>
      </c>
      <c r="AG231" s="94">
        <v>4</v>
      </c>
    </row>
    <row r="232" spans="1:33" ht="10.199999999999999" customHeight="1">
      <c r="A232" s="102" t="s">
        <v>178</v>
      </c>
      <c r="B232" s="103"/>
      <c r="C232" s="103"/>
      <c r="D232" s="103"/>
      <c r="E232" s="104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112"/>
      <c r="AG232" s="94">
        <v>4</v>
      </c>
    </row>
    <row r="233" spans="1:33" ht="10.199999999999999" customHeight="1">
      <c r="A233" s="140" t="s">
        <v>179</v>
      </c>
      <c r="B233" s="141"/>
      <c r="C233" s="141"/>
      <c r="D233" s="141"/>
      <c r="E233" s="142"/>
      <c r="F233" s="97" t="s">
        <v>180</v>
      </c>
      <c r="G233" s="97" t="s">
        <v>180</v>
      </c>
      <c r="H233" s="97" t="s">
        <v>180</v>
      </c>
      <c r="I233" s="97" t="s">
        <v>180</v>
      </c>
      <c r="J233" s="97" t="s">
        <v>180</v>
      </c>
      <c r="K233" s="97" t="s">
        <v>180</v>
      </c>
      <c r="L233" s="97" t="s">
        <v>180</v>
      </c>
      <c r="M233" s="97" t="s">
        <v>180</v>
      </c>
      <c r="N233" s="97" t="s">
        <v>180</v>
      </c>
      <c r="O233" s="97" t="s">
        <v>180</v>
      </c>
      <c r="P233" s="97" t="s">
        <v>180</v>
      </c>
      <c r="Q233" s="97" t="s">
        <v>180</v>
      </c>
      <c r="R233" s="97" t="s">
        <v>180</v>
      </c>
      <c r="S233" s="97" t="s">
        <v>180</v>
      </c>
      <c r="T233" s="97" t="s">
        <v>180</v>
      </c>
      <c r="U233" s="97" t="s">
        <v>180</v>
      </c>
      <c r="V233" s="97" t="s">
        <v>180</v>
      </c>
      <c r="W233" s="97" t="s">
        <v>180</v>
      </c>
      <c r="X233" s="97" t="s">
        <v>180</v>
      </c>
      <c r="Y233" s="111" t="s">
        <v>180</v>
      </c>
      <c r="AG233" s="94">
        <v>5</v>
      </c>
    </row>
    <row r="234" spans="1:33" ht="10.199999999999999" customHeight="1">
      <c r="A234" s="102" t="s">
        <v>181</v>
      </c>
      <c r="B234" s="103"/>
      <c r="C234" s="103"/>
      <c r="D234" s="103"/>
      <c r="E234" s="104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112"/>
      <c r="AG234" s="94">
        <v>5</v>
      </c>
    </row>
    <row r="235" spans="1:33" ht="10.199999999999999" customHeight="1">
      <c r="A235" s="140" t="s">
        <v>182</v>
      </c>
      <c r="B235" s="141"/>
      <c r="C235" s="141"/>
      <c r="D235" s="141"/>
      <c r="E235" s="142"/>
      <c r="F235" s="97" t="s">
        <v>183</v>
      </c>
      <c r="G235" s="97" t="s">
        <v>183</v>
      </c>
      <c r="H235" s="97" t="s">
        <v>183</v>
      </c>
      <c r="I235" s="97" t="s">
        <v>183</v>
      </c>
      <c r="J235" s="97" t="s">
        <v>183</v>
      </c>
      <c r="K235" s="97" t="s">
        <v>183</v>
      </c>
      <c r="L235" s="97" t="s">
        <v>183</v>
      </c>
      <c r="M235" s="97" t="s">
        <v>183</v>
      </c>
      <c r="N235" s="97" t="s">
        <v>183</v>
      </c>
      <c r="O235" s="97" t="s">
        <v>183</v>
      </c>
      <c r="P235" s="97" t="s">
        <v>183</v>
      </c>
      <c r="Q235" s="97" t="s">
        <v>183</v>
      </c>
      <c r="R235" s="97" t="s">
        <v>183</v>
      </c>
      <c r="S235" s="97" t="s">
        <v>183</v>
      </c>
      <c r="T235" s="97" t="s">
        <v>183</v>
      </c>
      <c r="U235" s="97" t="s">
        <v>183</v>
      </c>
      <c r="V235" s="97" t="s">
        <v>183</v>
      </c>
      <c r="W235" s="97" t="s">
        <v>183</v>
      </c>
      <c r="X235" s="97" t="s">
        <v>183</v>
      </c>
      <c r="Y235" s="111" t="s">
        <v>183</v>
      </c>
      <c r="AG235" s="94">
        <v>6</v>
      </c>
    </row>
    <row r="236" spans="1:33" ht="10.199999999999999" customHeight="1">
      <c r="A236" s="102" t="s">
        <v>184</v>
      </c>
      <c r="B236" s="103"/>
      <c r="C236" s="103"/>
      <c r="D236" s="103"/>
      <c r="E236" s="104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112"/>
      <c r="AG236" s="94">
        <v>6</v>
      </c>
    </row>
    <row r="237" spans="1:33" ht="10.199999999999999" customHeight="1">
      <c r="A237" s="140" t="s">
        <v>185</v>
      </c>
      <c r="B237" s="141"/>
      <c r="C237" s="141"/>
      <c r="D237" s="141"/>
      <c r="E237" s="142"/>
      <c r="F237" s="97" t="s">
        <v>183</v>
      </c>
      <c r="G237" s="97" t="s">
        <v>183</v>
      </c>
      <c r="H237" s="97" t="s">
        <v>183</v>
      </c>
      <c r="I237" s="97" t="s">
        <v>183</v>
      </c>
      <c r="J237" s="97" t="s">
        <v>183</v>
      </c>
      <c r="K237" s="97" t="s">
        <v>183</v>
      </c>
      <c r="L237" s="97" t="s">
        <v>183</v>
      </c>
      <c r="M237" s="97" t="s">
        <v>183</v>
      </c>
      <c r="N237" s="97" t="s">
        <v>183</v>
      </c>
      <c r="O237" s="97" t="s">
        <v>183</v>
      </c>
      <c r="P237" s="97" t="s">
        <v>183</v>
      </c>
      <c r="Q237" s="97" t="s">
        <v>183</v>
      </c>
      <c r="R237" s="97" t="s">
        <v>183</v>
      </c>
      <c r="S237" s="97" t="s">
        <v>183</v>
      </c>
      <c r="T237" s="97" t="s">
        <v>183</v>
      </c>
      <c r="U237" s="97" t="s">
        <v>183</v>
      </c>
      <c r="V237" s="97" t="s">
        <v>183</v>
      </c>
      <c r="W237" s="97" t="s">
        <v>183</v>
      </c>
      <c r="X237" s="97" t="s">
        <v>183</v>
      </c>
      <c r="Y237" s="111" t="s">
        <v>183</v>
      </c>
      <c r="AG237" s="94">
        <v>7</v>
      </c>
    </row>
    <row r="238" spans="1:33" ht="10.199999999999999" customHeight="1">
      <c r="A238" s="165" t="s">
        <v>186</v>
      </c>
      <c r="B238" s="103"/>
      <c r="C238" s="103"/>
      <c r="D238" s="103"/>
      <c r="E238" s="104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112"/>
      <c r="AG238" s="94">
        <v>7</v>
      </c>
    </row>
    <row r="239" spans="1:33" ht="10.199999999999999" customHeight="1">
      <c r="A239" s="140" t="s">
        <v>187</v>
      </c>
      <c r="B239" s="141"/>
      <c r="C239" s="141"/>
      <c r="D239" s="141"/>
      <c r="E239" s="142"/>
      <c r="F239" s="97" t="s">
        <v>173</v>
      </c>
      <c r="G239" s="97" t="s">
        <v>173</v>
      </c>
      <c r="H239" s="97" t="s">
        <v>173</v>
      </c>
      <c r="I239" s="97" t="s">
        <v>173</v>
      </c>
      <c r="J239" s="97" t="s">
        <v>173</v>
      </c>
      <c r="K239" s="97" t="s">
        <v>173</v>
      </c>
      <c r="L239" s="97" t="s">
        <v>173</v>
      </c>
      <c r="M239" s="97" t="s">
        <v>173</v>
      </c>
      <c r="N239" s="97" t="s">
        <v>173</v>
      </c>
      <c r="O239" s="97" t="s">
        <v>173</v>
      </c>
      <c r="P239" s="97" t="s">
        <v>173</v>
      </c>
      <c r="Q239" s="97" t="s">
        <v>173</v>
      </c>
      <c r="R239" s="97" t="s">
        <v>173</v>
      </c>
      <c r="S239" s="97" t="s">
        <v>173</v>
      </c>
      <c r="T239" s="97" t="s">
        <v>173</v>
      </c>
      <c r="U239" s="97" t="s">
        <v>173</v>
      </c>
      <c r="V239" s="97" t="s">
        <v>173</v>
      </c>
      <c r="W239" s="97" t="s">
        <v>173</v>
      </c>
      <c r="X239" s="97" t="s">
        <v>173</v>
      </c>
      <c r="Y239" s="111" t="s">
        <v>173</v>
      </c>
      <c r="AG239" s="94">
        <v>8</v>
      </c>
    </row>
    <row r="240" spans="1:33" ht="10.199999999999999" customHeight="1">
      <c r="A240" s="102" t="s">
        <v>188</v>
      </c>
      <c r="B240" s="103"/>
      <c r="C240" s="103"/>
      <c r="D240" s="103"/>
      <c r="E240" s="104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112"/>
      <c r="AG240" s="94">
        <v>8</v>
      </c>
    </row>
    <row r="241" spans="1:33" ht="10.199999999999999" customHeight="1">
      <c r="A241" s="140" t="s">
        <v>189</v>
      </c>
      <c r="B241" s="141"/>
      <c r="C241" s="141"/>
      <c r="D241" s="141"/>
      <c r="E241" s="142"/>
      <c r="F241" s="97" t="s">
        <v>183</v>
      </c>
      <c r="G241" s="97" t="s">
        <v>183</v>
      </c>
      <c r="H241" s="97" t="s">
        <v>183</v>
      </c>
      <c r="I241" s="97" t="s">
        <v>183</v>
      </c>
      <c r="J241" s="97" t="s">
        <v>183</v>
      </c>
      <c r="K241" s="97" t="s">
        <v>183</v>
      </c>
      <c r="L241" s="97" t="s">
        <v>183</v>
      </c>
      <c r="M241" s="97" t="s">
        <v>183</v>
      </c>
      <c r="N241" s="97" t="s">
        <v>183</v>
      </c>
      <c r="O241" s="97" t="s">
        <v>183</v>
      </c>
      <c r="P241" s="97" t="s">
        <v>183</v>
      </c>
      <c r="Q241" s="97" t="s">
        <v>183</v>
      </c>
      <c r="R241" s="97" t="s">
        <v>183</v>
      </c>
      <c r="S241" s="97" t="s">
        <v>183</v>
      </c>
      <c r="T241" s="97" t="s">
        <v>183</v>
      </c>
      <c r="U241" s="97" t="s">
        <v>183</v>
      </c>
      <c r="V241" s="97" t="s">
        <v>183</v>
      </c>
      <c r="W241" s="97" t="s">
        <v>183</v>
      </c>
      <c r="X241" s="97" t="s">
        <v>183</v>
      </c>
      <c r="Y241" s="111" t="s">
        <v>183</v>
      </c>
      <c r="AG241" s="94">
        <v>9</v>
      </c>
    </row>
    <row r="242" spans="1:33" ht="13.05" customHeight="1">
      <c r="A242" s="102" t="s">
        <v>190</v>
      </c>
      <c r="B242" s="103"/>
      <c r="C242" s="103"/>
      <c r="D242" s="103"/>
      <c r="E242" s="104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112"/>
      <c r="AG242" s="94">
        <v>9</v>
      </c>
    </row>
    <row r="243" spans="1:33" ht="13.05" customHeight="1">
      <c r="A243" s="140" t="s">
        <v>191</v>
      </c>
      <c r="B243" s="141"/>
      <c r="C243" s="141"/>
      <c r="D243" s="141"/>
      <c r="E243" s="142"/>
      <c r="F243" s="97">
        <v>13.64</v>
      </c>
      <c r="G243" s="97">
        <v>14.08</v>
      </c>
      <c r="H243" s="97">
        <v>14.11</v>
      </c>
      <c r="I243" s="97">
        <v>13.75</v>
      </c>
      <c r="J243" s="97">
        <v>13.88</v>
      </c>
      <c r="K243" s="97">
        <v>13.32</v>
      </c>
      <c r="L243" s="97">
        <v>13.63</v>
      </c>
      <c r="M243" s="97">
        <v>14.19</v>
      </c>
      <c r="N243" s="97">
        <v>13.87</v>
      </c>
      <c r="O243" s="97">
        <v>13.73</v>
      </c>
      <c r="P243" s="97">
        <v>13.9</v>
      </c>
      <c r="Q243" s="97">
        <v>13.43</v>
      </c>
      <c r="R243" s="97">
        <v>13.77</v>
      </c>
      <c r="S243" s="97">
        <v>13.7</v>
      </c>
      <c r="T243" s="97">
        <v>13.99</v>
      </c>
      <c r="U243" s="97">
        <v>13.32</v>
      </c>
      <c r="V243" s="97">
        <v>14.08</v>
      </c>
      <c r="W243" s="97">
        <v>13.35</v>
      </c>
      <c r="X243" s="97">
        <v>13.44</v>
      </c>
      <c r="Y243" s="111">
        <v>13.78</v>
      </c>
      <c r="AG243" s="94">
        <v>10</v>
      </c>
    </row>
    <row r="244" spans="1:33" ht="13.05" customHeight="1">
      <c r="A244" s="102" t="s">
        <v>192</v>
      </c>
      <c r="B244" s="103"/>
      <c r="C244" s="103"/>
      <c r="D244" s="103"/>
      <c r="E244" s="104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112"/>
      <c r="AG244" s="94">
        <v>10</v>
      </c>
    </row>
    <row r="245" spans="1:33" ht="13.05" hidden="1" customHeight="1">
      <c r="A245" s="140"/>
      <c r="B245" s="141"/>
      <c r="C245" s="141"/>
      <c r="D245" s="141"/>
      <c r="E245" s="142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111"/>
      <c r="AG245" s="94">
        <v>11</v>
      </c>
    </row>
    <row r="246" spans="1:33" ht="13.05" hidden="1" customHeight="1">
      <c r="A246" s="102"/>
      <c r="B246" s="103"/>
      <c r="C246" s="103"/>
      <c r="D246" s="103"/>
      <c r="E246" s="104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112"/>
      <c r="AG246" s="94">
        <v>11</v>
      </c>
    </row>
    <row r="247" spans="1:33" ht="13.05" hidden="1" customHeight="1">
      <c r="A247" s="140"/>
      <c r="B247" s="141"/>
      <c r="C247" s="141"/>
      <c r="D247" s="141"/>
      <c r="E247" s="142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111"/>
      <c r="AG247" s="94">
        <v>12</v>
      </c>
    </row>
    <row r="248" spans="1:33" ht="13.05" hidden="1" customHeight="1">
      <c r="A248" s="102"/>
      <c r="B248" s="103"/>
      <c r="C248" s="103"/>
      <c r="D248" s="103"/>
      <c r="E248" s="104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112"/>
      <c r="AG248" s="94">
        <v>12</v>
      </c>
    </row>
    <row r="249" spans="1:33" ht="13.05" hidden="1" customHeight="1">
      <c r="A249" s="140"/>
      <c r="B249" s="141"/>
      <c r="C249" s="141"/>
      <c r="D249" s="141"/>
      <c r="E249" s="142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111"/>
      <c r="AG249" s="94">
        <v>13</v>
      </c>
    </row>
    <row r="250" spans="1:33" ht="13.05" hidden="1" customHeight="1">
      <c r="A250" s="102"/>
      <c r="B250" s="103"/>
      <c r="C250" s="103"/>
      <c r="D250" s="103"/>
      <c r="E250" s="104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112"/>
      <c r="AG250" s="94">
        <v>13</v>
      </c>
    </row>
    <row r="251" spans="1:33" ht="13.05" hidden="1" customHeight="1">
      <c r="A251" s="140"/>
      <c r="B251" s="141"/>
      <c r="C251" s="141"/>
      <c r="D251" s="141"/>
      <c r="E251" s="142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111"/>
      <c r="AG251" s="94">
        <v>14</v>
      </c>
    </row>
    <row r="252" spans="1:33" ht="13.05" hidden="1" customHeight="1">
      <c r="A252" s="102"/>
      <c r="B252" s="103"/>
      <c r="C252" s="103"/>
      <c r="D252" s="103"/>
      <c r="E252" s="104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112"/>
      <c r="AG252" s="94">
        <v>14</v>
      </c>
    </row>
    <row r="253" spans="1:33" ht="13.05" hidden="1" customHeight="1">
      <c r="A253" s="140"/>
      <c r="B253" s="141"/>
      <c r="C253" s="141"/>
      <c r="D253" s="141"/>
      <c r="E253" s="142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111"/>
      <c r="AG253" s="94">
        <v>15</v>
      </c>
    </row>
    <row r="254" spans="1:33" ht="13.05" hidden="1" customHeight="1">
      <c r="A254" s="102"/>
      <c r="B254" s="103"/>
      <c r="C254" s="103"/>
      <c r="D254" s="103"/>
      <c r="E254" s="104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112"/>
      <c r="AG254" s="94">
        <v>15</v>
      </c>
    </row>
    <row r="255" spans="1:33" ht="13.05" hidden="1" customHeight="1">
      <c r="A255" s="140"/>
      <c r="B255" s="141"/>
      <c r="C255" s="141"/>
      <c r="D255" s="141"/>
      <c r="E255" s="142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111"/>
      <c r="AG255" s="94">
        <v>16</v>
      </c>
    </row>
    <row r="256" spans="1:33" ht="13.05" hidden="1" customHeight="1">
      <c r="A256" s="102"/>
      <c r="B256" s="103"/>
      <c r="C256" s="103"/>
      <c r="D256" s="103"/>
      <c r="E256" s="104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112"/>
      <c r="AG256" s="94">
        <v>16</v>
      </c>
    </row>
    <row r="257" spans="1:33" ht="13.05" hidden="1" customHeight="1">
      <c r="A257" s="140"/>
      <c r="B257" s="141"/>
      <c r="C257" s="141"/>
      <c r="D257" s="141"/>
      <c r="E257" s="142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111"/>
      <c r="AG257" s="94">
        <v>17</v>
      </c>
    </row>
    <row r="258" spans="1:33" ht="13.05" hidden="1" customHeight="1">
      <c r="A258" s="102"/>
      <c r="B258" s="103"/>
      <c r="C258" s="103"/>
      <c r="D258" s="103"/>
      <c r="E258" s="104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112"/>
      <c r="AG258" s="94">
        <v>17</v>
      </c>
    </row>
    <row r="259" spans="1:33" ht="13.05" hidden="1" customHeight="1">
      <c r="A259" s="140"/>
      <c r="B259" s="141"/>
      <c r="C259" s="141"/>
      <c r="D259" s="141"/>
      <c r="E259" s="142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111"/>
      <c r="AG259" s="94">
        <v>18</v>
      </c>
    </row>
    <row r="260" spans="1:33" ht="13.05" hidden="1" customHeight="1">
      <c r="A260" s="102"/>
      <c r="B260" s="103"/>
      <c r="C260" s="103"/>
      <c r="D260" s="103"/>
      <c r="E260" s="104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112"/>
      <c r="AG260" s="94">
        <v>18</v>
      </c>
    </row>
    <row r="261" spans="1:33" ht="13.05" hidden="1" customHeight="1">
      <c r="A261" s="140"/>
      <c r="B261" s="141"/>
      <c r="C261" s="141"/>
      <c r="D261" s="141"/>
      <c r="E261" s="142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111"/>
      <c r="AG261" s="94">
        <v>19</v>
      </c>
    </row>
    <row r="262" spans="1:33" ht="13.05" hidden="1" customHeight="1">
      <c r="A262" s="102"/>
      <c r="B262" s="103"/>
      <c r="C262" s="103"/>
      <c r="D262" s="103"/>
      <c r="E262" s="104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112"/>
      <c r="AG262" s="94">
        <v>19</v>
      </c>
    </row>
    <row r="263" spans="1:33" ht="13.05" hidden="1" customHeight="1">
      <c r="A263" s="140"/>
      <c r="B263" s="141"/>
      <c r="C263" s="141"/>
      <c r="D263" s="141"/>
      <c r="E263" s="142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111"/>
      <c r="AG263" s="94">
        <v>20</v>
      </c>
    </row>
    <row r="264" spans="1:33" ht="13.05" hidden="1" customHeight="1">
      <c r="A264" s="102"/>
      <c r="B264" s="103"/>
      <c r="C264" s="103"/>
      <c r="D264" s="103"/>
      <c r="E264" s="104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112"/>
      <c r="AG264" s="94">
        <v>20</v>
      </c>
    </row>
    <row r="265" spans="1:33" ht="13.05" hidden="1" customHeight="1">
      <c r="A265" s="140"/>
      <c r="B265" s="141"/>
      <c r="C265" s="141"/>
      <c r="D265" s="141"/>
      <c r="E265" s="142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111"/>
      <c r="AG265" s="94">
        <v>21</v>
      </c>
    </row>
    <row r="266" spans="1:33" ht="13.05" hidden="1" customHeight="1">
      <c r="A266" s="102"/>
      <c r="B266" s="103"/>
      <c r="C266" s="103"/>
      <c r="D266" s="103"/>
      <c r="E266" s="104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112"/>
      <c r="AG266" s="94">
        <v>21</v>
      </c>
    </row>
    <row r="267" spans="1:33" ht="13.05" hidden="1" customHeight="1">
      <c r="A267" s="140"/>
      <c r="B267" s="141"/>
      <c r="C267" s="141"/>
      <c r="D267" s="141"/>
      <c r="E267" s="142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111"/>
      <c r="AG267" s="94">
        <v>22</v>
      </c>
    </row>
    <row r="268" spans="1:33" ht="13.05" hidden="1" customHeight="1">
      <c r="A268" s="102"/>
      <c r="B268" s="103"/>
      <c r="C268" s="103"/>
      <c r="D268" s="103"/>
      <c r="E268" s="104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112"/>
      <c r="AG268" s="94">
        <v>22</v>
      </c>
    </row>
    <row r="269" spans="1:33" ht="13.05" hidden="1" customHeight="1">
      <c r="A269" s="140"/>
      <c r="B269" s="141"/>
      <c r="C269" s="141"/>
      <c r="D269" s="141"/>
      <c r="E269" s="142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111"/>
      <c r="AG269" s="94">
        <v>23</v>
      </c>
    </row>
    <row r="270" spans="1:33" ht="13.05" hidden="1" customHeight="1">
      <c r="A270" s="102"/>
      <c r="B270" s="103"/>
      <c r="C270" s="103"/>
      <c r="D270" s="103"/>
      <c r="E270" s="104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112"/>
      <c r="Z270" s="11"/>
      <c r="AA270" s="11"/>
      <c r="AB270" s="11"/>
      <c r="AC270" s="11"/>
      <c r="AD270" s="11"/>
      <c r="AE270" s="11"/>
      <c r="AG270" s="94">
        <v>23</v>
      </c>
    </row>
    <row r="271" spans="1:33" ht="13.05" hidden="1" customHeight="1">
      <c r="A271" s="140"/>
      <c r="B271" s="141"/>
      <c r="C271" s="141"/>
      <c r="D271" s="141"/>
      <c r="E271" s="142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111"/>
      <c r="Z271" s="11"/>
      <c r="AA271" s="11"/>
      <c r="AB271" s="11"/>
      <c r="AC271" s="11"/>
      <c r="AD271" s="11"/>
      <c r="AE271" s="11"/>
      <c r="AG271" s="94">
        <v>24</v>
      </c>
    </row>
    <row r="272" spans="1:33" ht="13.05" hidden="1" customHeight="1">
      <c r="A272" s="102"/>
      <c r="B272" s="103"/>
      <c r="C272" s="103"/>
      <c r="D272" s="103"/>
      <c r="E272" s="104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112"/>
      <c r="Z272" s="11"/>
      <c r="AA272" s="11"/>
      <c r="AB272" s="11"/>
      <c r="AC272" s="11"/>
      <c r="AD272" s="11"/>
      <c r="AE272" s="11"/>
      <c r="AG272" s="94">
        <v>24</v>
      </c>
    </row>
    <row r="273" spans="1:33" ht="13.05" hidden="1" customHeight="1">
      <c r="A273" s="140"/>
      <c r="B273" s="141"/>
      <c r="C273" s="141"/>
      <c r="D273" s="141"/>
      <c r="E273" s="142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111"/>
      <c r="Z273" s="11"/>
      <c r="AA273" s="11"/>
      <c r="AB273" s="11"/>
      <c r="AC273" s="11"/>
      <c r="AD273" s="11"/>
      <c r="AE273" s="11"/>
      <c r="AG273" s="94">
        <v>25</v>
      </c>
    </row>
    <row r="274" spans="1:33" ht="13.05" hidden="1" customHeight="1">
      <c r="A274" s="165"/>
      <c r="B274" s="103"/>
      <c r="C274" s="103"/>
      <c r="D274" s="103"/>
      <c r="E274" s="104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112"/>
      <c r="Z274" s="11"/>
      <c r="AA274" s="11"/>
      <c r="AB274" s="11"/>
      <c r="AC274" s="11"/>
      <c r="AD274" s="11"/>
      <c r="AE274" s="11"/>
      <c r="AG274" s="94">
        <v>25</v>
      </c>
    </row>
    <row r="275" spans="1:33" ht="13.05" hidden="1" customHeight="1">
      <c r="A275" s="140"/>
      <c r="B275" s="141"/>
      <c r="C275" s="141"/>
      <c r="D275" s="141"/>
      <c r="E275" s="142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111"/>
      <c r="Z275" s="11"/>
      <c r="AA275" s="11"/>
      <c r="AB275" s="11"/>
      <c r="AC275" s="11"/>
      <c r="AD275" s="11"/>
      <c r="AE275" s="11"/>
      <c r="AG275" s="94">
        <v>26</v>
      </c>
    </row>
    <row r="276" spans="1:33" ht="13.05" hidden="1" customHeight="1">
      <c r="A276" s="165"/>
      <c r="B276" s="103"/>
      <c r="C276" s="103"/>
      <c r="D276" s="103"/>
      <c r="E276" s="104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112"/>
      <c r="Z276" s="11"/>
      <c r="AA276" s="11"/>
      <c r="AB276" s="11"/>
      <c r="AC276" s="11"/>
      <c r="AD276" s="11"/>
      <c r="AE276" s="11"/>
      <c r="AG276" s="94">
        <v>26</v>
      </c>
    </row>
    <row r="277" spans="1:33" ht="13.05" hidden="1" customHeight="1">
      <c r="A277" s="140"/>
      <c r="B277" s="141"/>
      <c r="C277" s="141"/>
      <c r="D277" s="141"/>
      <c r="E277" s="142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111"/>
      <c r="AG277" s="94">
        <v>27</v>
      </c>
    </row>
    <row r="278" spans="1:33" ht="13.05" hidden="1" customHeight="1">
      <c r="A278" s="102"/>
      <c r="B278" s="103"/>
      <c r="C278" s="103"/>
      <c r="D278" s="103"/>
      <c r="E278" s="104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112"/>
      <c r="AG278" s="94">
        <v>27</v>
      </c>
    </row>
    <row r="279" spans="1:33" ht="13.05" hidden="1" customHeight="1">
      <c r="A279" s="140"/>
      <c r="B279" s="141"/>
      <c r="C279" s="141"/>
      <c r="D279" s="141"/>
      <c r="E279" s="142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111"/>
      <c r="AG279" s="94">
        <v>28</v>
      </c>
    </row>
    <row r="280" spans="1:33" ht="13.05" hidden="1" customHeight="1">
      <c r="A280" s="102"/>
      <c r="B280" s="103"/>
      <c r="C280" s="103"/>
      <c r="D280" s="103"/>
      <c r="E280" s="104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112"/>
      <c r="AG280" s="94">
        <v>28</v>
      </c>
    </row>
    <row r="281" spans="1:33" ht="13.05" hidden="1" customHeight="1">
      <c r="A281" s="140"/>
      <c r="B281" s="141"/>
      <c r="C281" s="141"/>
      <c r="D281" s="141"/>
      <c r="E281" s="142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111"/>
      <c r="AG281" s="94">
        <v>29</v>
      </c>
    </row>
    <row r="282" spans="1:33" ht="13.05" hidden="1" customHeight="1">
      <c r="A282" s="102"/>
      <c r="B282" s="103"/>
      <c r="C282" s="103"/>
      <c r="D282" s="103"/>
      <c r="E282" s="104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112"/>
      <c r="AG282" s="94">
        <v>29</v>
      </c>
    </row>
    <row r="283" spans="1:33" ht="13.05" hidden="1" customHeight="1">
      <c r="A283" s="140"/>
      <c r="B283" s="141"/>
      <c r="C283" s="141"/>
      <c r="D283" s="141"/>
      <c r="E283" s="142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111"/>
      <c r="AG283" s="94">
        <v>30</v>
      </c>
    </row>
    <row r="284" spans="1:33" ht="13.05" hidden="1" customHeight="1">
      <c r="A284" s="102"/>
      <c r="B284" s="103"/>
      <c r="C284" s="103"/>
      <c r="D284" s="103"/>
      <c r="E284" s="104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112"/>
      <c r="AG284" s="94">
        <v>30</v>
      </c>
    </row>
    <row r="285" spans="1:33" ht="13.05" hidden="1" customHeight="1">
      <c r="A285" s="140"/>
      <c r="B285" s="141"/>
      <c r="C285" s="141"/>
      <c r="D285" s="141"/>
      <c r="E285" s="142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111"/>
      <c r="AG285" s="94">
        <v>31</v>
      </c>
    </row>
    <row r="286" spans="1:33" ht="13.05" hidden="1" customHeight="1">
      <c r="A286" s="102"/>
      <c r="B286" s="103"/>
      <c r="C286" s="103"/>
      <c r="D286" s="103"/>
      <c r="E286" s="104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112"/>
      <c r="AG286" s="94">
        <v>31</v>
      </c>
    </row>
    <row r="287" spans="1:33" ht="13.05" hidden="1" customHeight="1">
      <c r="A287" s="140"/>
      <c r="B287" s="141"/>
      <c r="C287" s="141"/>
      <c r="D287" s="141"/>
      <c r="E287" s="142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111"/>
      <c r="AG287" s="94">
        <v>32</v>
      </c>
    </row>
    <row r="288" spans="1:33" ht="13.05" hidden="1" customHeight="1">
      <c r="A288" s="102"/>
      <c r="B288" s="103"/>
      <c r="C288" s="103"/>
      <c r="D288" s="103"/>
      <c r="E288" s="104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112"/>
      <c r="AG288" s="94">
        <v>32</v>
      </c>
    </row>
    <row r="289" spans="1:33" ht="13.05" hidden="1" customHeight="1">
      <c r="A289" s="140"/>
      <c r="B289" s="141"/>
      <c r="C289" s="141"/>
      <c r="D289" s="141"/>
      <c r="E289" s="142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111"/>
      <c r="AG289" s="94">
        <v>33</v>
      </c>
    </row>
    <row r="290" spans="1:33" ht="13.05" hidden="1" customHeight="1">
      <c r="A290" s="102"/>
      <c r="B290" s="103"/>
      <c r="C290" s="103"/>
      <c r="D290" s="103"/>
      <c r="E290" s="104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112"/>
      <c r="AG290" s="94">
        <v>33</v>
      </c>
    </row>
    <row r="291" spans="1:33" ht="13.05" hidden="1" customHeight="1">
      <c r="A291" s="140"/>
      <c r="B291" s="141"/>
      <c r="C291" s="141"/>
      <c r="D291" s="141"/>
      <c r="E291" s="142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111"/>
      <c r="AG291" s="94">
        <v>34</v>
      </c>
    </row>
    <row r="292" spans="1:33" ht="13.05" hidden="1" customHeight="1">
      <c r="A292" s="102"/>
      <c r="B292" s="103"/>
      <c r="C292" s="103"/>
      <c r="D292" s="103"/>
      <c r="E292" s="104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112"/>
      <c r="AG292" s="94">
        <v>34</v>
      </c>
    </row>
    <row r="293" spans="1:33" ht="13.05" hidden="1" customHeight="1">
      <c r="A293" s="140"/>
      <c r="B293" s="141"/>
      <c r="C293" s="141"/>
      <c r="D293" s="141"/>
      <c r="E293" s="142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111"/>
      <c r="AG293" s="94">
        <v>35</v>
      </c>
    </row>
    <row r="294" spans="1:33" ht="13.05" hidden="1" customHeight="1">
      <c r="A294" s="102"/>
      <c r="B294" s="103"/>
      <c r="C294" s="103"/>
      <c r="D294" s="103"/>
      <c r="E294" s="104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112"/>
      <c r="AG294" s="94">
        <v>35</v>
      </c>
    </row>
    <row r="295" spans="1:33" ht="13.05" hidden="1" customHeight="1">
      <c r="A295" s="140"/>
      <c r="B295" s="141"/>
      <c r="C295" s="141"/>
      <c r="D295" s="141"/>
      <c r="E295" s="142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111"/>
      <c r="AG295" s="94">
        <v>36</v>
      </c>
    </row>
    <row r="296" spans="1:33" ht="13.05" hidden="1" customHeight="1">
      <c r="A296" s="102"/>
      <c r="B296" s="103"/>
      <c r="C296" s="103"/>
      <c r="D296" s="103"/>
      <c r="E296" s="104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112"/>
      <c r="AG296" s="94">
        <v>36</v>
      </c>
    </row>
    <row r="297" spans="1:33" ht="13.05" hidden="1" customHeight="1">
      <c r="A297" s="140"/>
      <c r="B297" s="141"/>
      <c r="C297" s="141"/>
      <c r="D297" s="141"/>
      <c r="E297" s="142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111"/>
      <c r="AG297" s="94">
        <v>37</v>
      </c>
    </row>
    <row r="298" spans="1:33" ht="13.05" hidden="1" customHeight="1">
      <c r="A298" s="102"/>
      <c r="B298" s="103"/>
      <c r="C298" s="103"/>
      <c r="D298" s="103"/>
      <c r="E298" s="104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112"/>
      <c r="AG298" s="94">
        <v>37</v>
      </c>
    </row>
    <row r="299" spans="1:33" ht="13.05" hidden="1" customHeight="1">
      <c r="A299" s="140"/>
      <c r="B299" s="141"/>
      <c r="C299" s="141"/>
      <c r="D299" s="141"/>
      <c r="E299" s="142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111"/>
      <c r="AG299" s="94">
        <v>38</v>
      </c>
    </row>
    <row r="300" spans="1:33" ht="13.05" hidden="1" customHeight="1">
      <c r="A300" s="102"/>
      <c r="B300" s="103"/>
      <c r="C300" s="103"/>
      <c r="D300" s="103"/>
      <c r="E300" s="104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112"/>
      <c r="AG300" s="94">
        <v>38</v>
      </c>
    </row>
    <row r="301" spans="1:33" ht="13.05" hidden="1" customHeight="1">
      <c r="A301" s="140"/>
      <c r="B301" s="141"/>
      <c r="C301" s="141"/>
      <c r="D301" s="141"/>
      <c r="E301" s="142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111"/>
      <c r="AG301" s="94">
        <v>39</v>
      </c>
    </row>
    <row r="302" spans="1:33" ht="13.05" hidden="1" customHeight="1">
      <c r="A302" s="102"/>
      <c r="B302" s="103"/>
      <c r="C302" s="103"/>
      <c r="D302" s="103"/>
      <c r="E302" s="104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112"/>
      <c r="AG302" s="94">
        <v>39</v>
      </c>
    </row>
    <row r="303" spans="1:33" ht="13.05" hidden="1" customHeight="1">
      <c r="A303" s="140"/>
      <c r="B303" s="141"/>
      <c r="C303" s="141"/>
      <c r="D303" s="141"/>
      <c r="E303" s="142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111"/>
      <c r="AG303" s="94">
        <v>40</v>
      </c>
    </row>
    <row r="304" spans="1:33" ht="13.05" hidden="1" customHeight="1">
      <c r="A304" s="102"/>
      <c r="B304" s="103"/>
      <c r="C304" s="103"/>
      <c r="D304" s="103"/>
      <c r="E304" s="104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112"/>
      <c r="AG304" s="94">
        <v>40</v>
      </c>
    </row>
    <row r="305" spans="1:25" ht="10.5" customHeight="1">
      <c r="A305" s="15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4"/>
      <c r="N305" s="10"/>
      <c r="O305" s="13"/>
      <c r="P305" s="13"/>
      <c r="Q305" s="13"/>
      <c r="R305" s="13"/>
      <c r="S305" s="14"/>
      <c r="T305" s="14"/>
      <c r="U305" s="13"/>
      <c r="V305" s="13"/>
      <c r="W305" s="13"/>
      <c r="X305" s="13"/>
      <c r="Y305" s="13"/>
    </row>
    <row r="306" spans="1:25" ht="10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4"/>
      <c r="N306" s="10"/>
      <c r="O306" s="13"/>
      <c r="P306" s="13"/>
      <c r="Q306" s="13"/>
      <c r="R306" s="13"/>
      <c r="S306" s="14"/>
      <c r="T306" s="14"/>
      <c r="U306" s="13"/>
      <c r="V306" s="13"/>
      <c r="W306" s="13"/>
      <c r="X306" s="13"/>
      <c r="Y306" s="13"/>
    </row>
    <row r="307" spans="1:25" ht="10.5" customHeight="1">
      <c r="A307" s="32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spans="1:25" ht="13.0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91" t="s">
        <v>193</v>
      </c>
      <c r="W308" s="123">
        <v>46087</v>
      </c>
      <c r="X308" s="118"/>
      <c r="Y308" s="118"/>
    </row>
    <row r="309" spans="1:25" ht="10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83"/>
      <c r="Q309" s="83"/>
      <c r="R309" s="83"/>
      <c r="S309" s="83"/>
      <c r="T309" s="83"/>
      <c r="U309" s="83"/>
      <c r="V309" s="83"/>
      <c r="W309" s="83"/>
      <c r="X309" s="13"/>
      <c r="Y309" s="13"/>
    </row>
    <row r="310" spans="1:25" ht="10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13"/>
      <c r="N310" s="4"/>
      <c r="O310" s="4"/>
      <c r="P310" s="4"/>
      <c r="Q310" s="10" t="s">
        <v>1230</v>
      </c>
      <c r="R310" s="4"/>
      <c r="S310" s="4"/>
      <c r="T310" s="13"/>
      <c r="U310" s="13"/>
      <c r="V310" s="4"/>
      <c r="W310" s="4"/>
      <c r="X310" s="4"/>
      <c r="Y310" s="4"/>
    </row>
    <row r="311" spans="1:25" ht="10.5" customHeight="1"/>
    <row r="312" spans="1:25" ht="10.5" customHeight="1"/>
    <row r="313" spans="1:25" ht="10.5" customHeight="1"/>
    <row r="314" spans="1:25" ht="10.5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</row>
    <row r="315" spans="1:25" ht="10.5" customHeight="1"/>
    <row r="316" spans="1:25" ht="10.5" customHeight="1"/>
    <row r="317" spans="1:25" ht="10.5" customHeight="1"/>
    <row r="318" spans="1:25" ht="10.5" customHeight="1"/>
    <row r="319" spans="1:25" ht="10.5" customHeight="1"/>
    <row r="320" spans="1:25" ht="10.5" customHeight="1">
      <c r="A320" s="51"/>
    </row>
    <row r="321" spans="1:25" ht="10.5" customHeight="1"/>
    <row r="322" spans="1:25" ht="10.5" customHeight="1"/>
    <row r="323" spans="1:25" ht="10.5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</row>
    <row r="324" spans="1:25" ht="10.5" customHeight="1"/>
    <row r="325" spans="1:25" ht="10.5" customHeight="1"/>
    <row r="326" spans="1:25" ht="10.5" customHeight="1"/>
    <row r="327" spans="1:25" ht="10.5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</row>
    <row r="328" spans="1:25" ht="10.5" customHeight="1"/>
    <row r="329" spans="1:25" ht="10.5" customHeight="1"/>
    <row r="330" spans="1:25" ht="10.5" customHeight="1"/>
    <row r="331" spans="1:25" ht="10.5" customHeight="1"/>
    <row r="332" spans="1:25" ht="10.5" customHeight="1"/>
    <row r="333" spans="1:25" ht="10.5" customHeight="1"/>
    <row r="334" spans="1:25" ht="10.5" customHeight="1"/>
    <row r="335" spans="1:25" ht="10.5" customHeight="1"/>
    <row r="336" spans="1:25" ht="10.5" customHeight="1"/>
    <row r="337" ht="10.5" customHeight="1"/>
    <row r="338" ht="10.5" customHeight="1"/>
    <row r="339" ht="10.5" customHeight="1"/>
    <row r="340" ht="10.5" customHeight="1"/>
    <row r="341" ht="10.5" customHeight="1"/>
    <row r="342" ht="10.5" customHeight="1"/>
    <row r="343" ht="10.5" customHeight="1"/>
    <row r="344" ht="10.5" customHeight="1"/>
    <row r="345" ht="10.5" customHeight="1"/>
    <row r="346" ht="10.5" customHeight="1"/>
    <row r="347" ht="10.5" customHeight="1"/>
    <row r="348" ht="10.5" customHeight="1"/>
    <row r="349" ht="10.5" customHeight="1"/>
    <row r="350" ht="10.5" customHeight="1"/>
    <row r="351" ht="10.5" customHeight="1"/>
    <row r="352" ht="10.5" customHeight="1"/>
    <row r="353" ht="10.5" customHeight="1"/>
    <row r="354" ht="10.5" customHeight="1"/>
    <row r="355" ht="10.5" customHeight="1"/>
    <row r="356" ht="10.5" customHeight="1"/>
    <row r="357" ht="10.5" customHeight="1"/>
    <row r="358" ht="10.5" customHeight="1"/>
    <row r="359" ht="10.5" customHeight="1"/>
    <row r="360" ht="10.5" customHeight="1"/>
    <row r="361" ht="10.5" customHeight="1"/>
    <row r="362" ht="10.5" customHeight="1"/>
    <row r="363" ht="10.5" customHeight="1"/>
    <row r="364" ht="10.5" customHeight="1"/>
    <row r="365" ht="10.5" customHeight="1"/>
    <row r="366" ht="10.5" customHeight="1"/>
    <row r="367" ht="10.5" customHeight="1"/>
    <row r="368" ht="10.5" customHeight="1"/>
    <row r="369" ht="10.5" customHeight="1"/>
    <row r="370" ht="10.5" customHeight="1"/>
    <row r="371" ht="10.5" customHeight="1"/>
    <row r="372" ht="10.5" customHeight="1"/>
    <row r="373" ht="10.5" customHeight="1"/>
    <row r="374" ht="10.5" customHeight="1"/>
    <row r="375" ht="10.5" customHeight="1"/>
    <row r="376" ht="10.5" customHeight="1"/>
    <row r="377" ht="10.5" customHeight="1"/>
    <row r="378" ht="10.5" customHeight="1"/>
    <row r="379" ht="10.5" customHeight="1"/>
    <row r="380" ht="10.5" customHeight="1"/>
    <row r="381" ht="10.5" customHeight="1"/>
    <row r="382" ht="10.5" customHeight="1"/>
    <row r="383" ht="10.5" customHeight="1"/>
    <row r="384" ht="10.5" customHeight="1"/>
    <row r="385" ht="10.5" customHeight="1"/>
    <row r="386" ht="10.5" customHeight="1"/>
    <row r="387" ht="10.5" customHeight="1"/>
    <row r="388" ht="10.5" customHeight="1"/>
    <row r="389" ht="10.5" customHeight="1"/>
    <row r="390" ht="10.5" customHeight="1"/>
    <row r="391" ht="10.5" customHeight="1"/>
    <row r="392" ht="10.5" customHeight="1"/>
    <row r="393" ht="10.5" customHeight="1"/>
    <row r="394" ht="10.5" customHeight="1"/>
    <row r="395" ht="10.5" customHeight="1"/>
    <row r="396" ht="10.5" customHeight="1"/>
    <row r="397" ht="10.5" customHeight="1"/>
    <row r="398" ht="10.5" customHeight="1"/>
    <row r="399" ht="10.5" customHeight="1"/>
    <row r="400" ht="10.5" customHeight="1"/>
    <row r="401" ht="10.5" customHeight="1"/>
    <row r="402" ht="10.5" customHeight="1"/>
    <row r="403" ht="10.5" customHeight="1"/>
    <row r="404" ht="10.5" customHeight="1"/>
    <row r="405" ht="10.5" customHeight="1"/>
    <row r="406" ht="10.5" customHeight="1"/>
    <row r="407" ht="10.5" customHeight="1"/>
    <row r="408" ht="10.5" customHeight="1"/>
    <row r="409" ht="10.5" customHeight="1"/>
    <row r="410" ht="10.5" customHeight="1"/>
    <row r="411" ht="10.5" customHeight="1"/>
    <row r="412" ht="10.5" customHeight="1"/>
    <row r="413" ht="10.5" customHeight="1"/>
    <row r="414" ht="10.5" customHeight="1"/>
    <row r="415" ht="10.5" customHeight="1"/>
    <row r="416" ht="10.5" customHeight="1"/>
    <row r="417" ht="10.5" customHeight="1"/>
    <row r="418" ht="10.5" customHeight="1"/>
    <row r="419" ht="10.5" customHeight="1"/>
    <row r="420" ht="10.5" customHeight="1"/>
    <row r="421" ht="10.5" customHeight="1"/>
    <row r="422" ht="10.5" customHeight="1"/>
    <row r="423" ht="10.5" customHeight="1"/>
    <row r="424" ht="10.5" customHeight="1"/>
    <row r="425" ht="10.5" customHeight="1"/>
    <row r="426" ht="10.5" customHeight="1"/>
    <row r="427" ht="10.5" customHeight="1"/>
    <row r="428" ht="10.5" customHeight="1"/>
    <row r="429" ht="10.5" customHeight="1"/>
    <row r="430" ht="10.5" customHeight="1"/>
    <row r="431" ht="10.5" customHeight="1"/>
    <row r="432" ht="10.5" customHeight="1"/>
    <row r="433" ht="10.5" customHeight="1"/>
    <row r="434" ht="10.5" customHeight="1"/>
    <row r="435" ht="10.5" customHeight="1"/>
    <row r="436" ht="10.5" customHeight="1"/>
    <row r="437" ht="10.5" customHeight="1"/>
    <row r="438" ht="10.5" customHeight="1"/>
    <row r="439" ht="10.5" customHeight="1"/>
    <row r="440" ht="10.5" customHeight="1"/>
    <row r="441" ht="10.5" customHeight="1"/>
    <row r="442" ht="10.5" customHeight="1"/>
    <row r="443" ht="10.5" customHeight="1"/>
    <row r="444" ht="10.5" customHeight="1"/>
    <row r="445" ht="10.5" customHeight="1"/>
    <row r="446" ht="10.5" customHeight="1"/>
    <row r="447" ht="10.5" customHeight="1"/>
    <row r="448" ht="10.5" customHeight="1"/>
    <row r="449" ht="10.5" customHeight="1"/>
    <row r="450" ht="10.5" customHeight="1"/>
    <row r="451" ht="10.5" customHeight="1"/>
    <row r="452" ht="10.5" customHeight="1"/>
    <row r="453" ht="10.5" customHeight="1"/>
    <row r="454" ht="10.5" customHeight="1"/>
    <row r="455" ht="10.5" customHeight="1"/>
    <row r="456" ht="10.5" customHeight="1"/>
    <row r="457" ht="10.5" customHeight="1"/>
    <row r="458" ht="10.5" customHeight="1"/>
    <row r="459" ht="10.5" customHeight="1"/>
    <row r="460" ht="10.5" customHeight="1"/>
    <row r="461" ht="10.5" customHeight="1"/>
    <row r="462" ht="10.5" customHeight="1"/>
    <row r="463" ht="10.5" customHeight="1"/>
    <row r="464" ht="10.5" customHeight="1"/>
    <row r="465" ht="10.5" customHeight="1"/>
    <row r="466" ht="10.5" customHeight="1"/>
    <row r="467" ht="10.5" customHeight="1"/>
    <row r="468" ht="10.5" customHeight="1"/>
    <row r="469" ht="10.5" customHeight="1"/>
    <row r="470" ht="10.5" customHeight="1"/>
    <row r="471" ht="10.5" customHeight="1"/>
    <row r="472" ht="10.5" customHeight="1"/>
    <row r="473" ht="10.5" customHeight="1"/>
    <row r="474" ht="10.5" customHeight="1"/>
    <row r="475" ht="10.5" customHeight="1"/>
    <row r="476" ht="10.5" customHeight="1"/>
    <row r="477" ht="10.5" customHeight="1"/>
    <row r="478" ht="10.5" customHeight="1"/>
    <row r="479" ht="10.5" customHeight="1"/>
    <row r="480" ht="10.5" customHeight="1"/>
    <row r="481" ht="10.5" customHeight="1"/>
    <row r="482" ht="10.5" customHeight="1"/>
    <row r="483" ht="10.5" customHeight="1"/>
    <row r="484" ht="10.5" customHeight="1"/>
    <row r="485" ht="10.5" customHeight="1"/>
    <row r="486" ht="10.5" customHeight="1"/>
    <row r="487" ht="10.5" customHeight="1"/>
    <row r="488" ht="10.5" customHeight="1"/>
    <row r="489" ht="10.5" customHeight="1"/>
    <row r="490" ht="10.5" customHeight="1"/>
    <row r="491" ht="10.5" customHeight="1"/>
    <row r="492" ht="10.5" customHeight="1"/>
    <row r="493" ht="10.5" customHeight="1"/>
    <row r="494" ht="10.5" customHeight="1"/>
    <row r="495" ht="10.5" customHeight="1"/>
    <row r="496" ht="10.5" customHeight="1"/>
    <row r="497" ht="10.5" customHeight="1"/>
    <row r="498" ht="10.5" customHeight="1"/>
    <row r="499" ht="10.5" customHeight="1"/>
    <row r="500" ht="10.5" customHeight="1"/>
    <row r="501" ht="10.5" customHeight="1"/>
    <row r="502" ht="10.5" customHeight="1"/>
    <row r="503" ht="10.5" customHeight="1"/>
    <row r="504" ht="10.5" customHeight="1"/>
    <row r="505" ht="10.5" customHeight="1"/>
    <row r="506" ht="10.5" customHeight="1"/>
    <row r="507" ht="10.5" customHeight="1"/>
    <row r="508" ht="10.5" customHeight="1"/>
    <row r="509" ht="10.5" customHeight="1"/>
    <row r="510" ht="10.5" customHeight="1"/>
    <row r="511" ht="10.5" customHeight="1"/>
    <row r="512" ht="10.5" customHeight="1"/>
    <row r="513" ht="10.5" customHeight="1"/>
    <row r="514" ht="10.5" customHeight="1"/>
    <row r="515" ht="10.5" customHeight="1"/>
    <row r="516" ht="10.5" customHeight="1"/>
    <row r="517" ht="10.5" customHeight="1"/>
    <row r="518" ht="10.5" customHeight="1"/>
    <row r="519" ht="10.5" customHeight="1"/>
    <row r="520" ht="10.5" customHeight="1"/>
    <row r="521" ht="10.5" customHeight="1"/>
    <row r="522" ht="10.5" customHeight="1"/>
    <row r="523" ht="10.5" customHeight="1"/>
    <row r="524" ht="10.5" customHeight="1"/>
    <row r="525" ht="10.5" customHeight="1"/>
    <row r="526" ht="10.5" customHeight="1"/>
    <row r="527" ht="10.5" customHeight="1"/>
    <row r="528" ht="10.5" customHeight="1"/>
    <row r="529" ht="10.5" customHeight="1"/>
    <row r="530" ht="10.5" customHeight="1"/>
    <row r="531" ht="10.5" customHeight="1"/>
    <row r="532" ht="10.5" customHeight="1"/>
    <row r="533" ht="10.5" customHeight="1"/>
    <row r="534" ht="10.5" customHeight="1"/>
    <row r="535" ht="10.5" customHeight="1"/>
    <row r="536" ht="10.5" customHeight="1"/>
    <row r="537" ht="10.5" customHeight="1"/>
    <row r="538" ht="10.5" customHeight="1"/>
    <row r="539" ht="10.5" customHeight="1"/>
    <row r="540" ht="10.5" customHeight="1"/>
    <row r="541" ht="10.5" customHeight="1"/>
    <row r="542" ht="10.5" customHeight="1"/>
    <row r="543" ht="10.5" customHeight="1"/>
    <row r="544" ht="10.5" customHeight="1"/>
    <row r="545" ht="10.5" customHeight="1"/>
    <row r="546" ht="10.5" customHeight="1"/>
    <row r="547" ht="10.5" customHeight="1"/>
    <row r="548" ht="10.5" customHeight="1"/>
    <row r="549" ht="10.5" customHeight="1"/>
    <row r="550" ht="10.5" customHeight="1"/>
    <row r="551" ht="10.5" customHeight="1"/>
    <row r="552" ht="10.5" customHeight="1"/>
    <row r="553" ht="10.5" customHeight="1"/>
    <row r="554" ht="10.5" customHeight="1"/>
    <row r="555" ht="10.5" customHeight="1"/>
    <row r="556" ht="10.5" customHeight="1"/>
    <row r="557" ht="10.5" customHeight="1"/>
    <row r="558" ht="10.5" customHeight="1"/>
    <row r="559" ht="10.5" customHeight="1"/>
    <row r="560" ht="10.5" customHeight="1"/>
    <row r="561" ht="10.5" customHeight="1"/>
    <row r="562" ht="10.5" customHeight="1"/>
    <row r="563" ht="10.5" customHeight="1"/>
    <row r="564" ht="10.5" customHeight="1"/>
    <row r="565" ht="10.5" customHeight="1"/>
    <row r="566" ht="10.5" customHeight="1"/>
    <row r="567" ht="10.5" customHeight="1"/>
    <row r="568" ht="10.5" customHeight="1"/>
    <row r="569" ht="10.5" customHeight="1"/>
    <row r="570" ht="10.5" customHeight="1"/>
    <row r="571" ht="10.5" customHeight="1"/>
    <row r="572" ht="10.5" customHeight="1"/>
    <row r="573" ht="10.5" customHeight="1"/>
    <row r="574" ht="10.5" customHeight="1"/>
    <row r="575" ht="10.5" customHeight="1"/>
    <row r="576" ht="10.5" customHeight="1"/>
    <row r="577" ht="10.5" customHeight="1"/>
    <row r="578" ht="10.5" customHeight="1"/>
    <row r="579" ht="10.5" customHeight="1"/>
    <row r="580" ht="10.5" customHeight="1"/>
  </sheetData>
  <autoFilter ref="AA1:AG580" xr:uid="{00000000-0009-0000-0000-000000000000}">
    <filterColumn colId="0">
      <filters blank="1">
        <filter val="1-Single line"/>
      </filters>
    </filterColumn>
    <filterColumn colId="1">
      <filters blank="1"/>
    </filterColumn>
    <filterColumn colId="2">
      <filters blank="1">
        <filter val="3"/>
        <filter val="4"/>
        <filter val="5"/>
        <filter val="6"/>
        <filter val="7"/>
      </filters>
    </filterColumn>
    <filterColumn colId="3">
      <filters blank="1">
        <filter val="2"/>
      </filters>
    </filterColumn>
    <filterColumn colId="4">
      <filters blank="1"/>
    </filterColumn>
    <filterColumn colId="5">
      <filters blank="1">
        <filter val="1"/>
        <filter val="2"/>
        <filter val="3"/>
        <filter val="4"/>
        <filter val="5"/>
        <filter val="6"/>
        <filter val="7"/>
      </filters>
    </filterColumn>
    <filterColumn colId="6">
      <filters blank="1">
        <filter val="1"/>
        <filter val="10"/>
        <filter val="2"/>
        <filter val="3"/>
        <filter val="4"/>
        <filter val="5"/>
        <filter val="6"/>
        <filter val="7"/>
        <filter val="8"/>
        <filter val="9"/>
      </filters>
    </filterColumn>
  </autoFilter>
  <mergeCells count="2243">
    <mergeCell ref="O295:O296"/>
    <mergeCell ref="M141:M142"/>
    <mergeCell ref="A251:E251"/>
    <mergeCell ref="V96:Y96"/>
    <mergeCell ref="V187:V188"/>
    <mergeCell ref="N261:N262"/>
    <mergeCell ref="K191:K192"/>
    <mergeCell ref="R122:S122"/>
    <mergeCell ref="A259:E259"/>
    <mergeCell ref="O199:O200"/>
    <mergeCell ref="A253:E253"/>
    <mergeCell ref="V195:V196"/>
    <mergeCell ref="V189:V190"/>
    <mergeCell ref="X251:X252"/>
    <mergeCell ref="Y231:Y232"/>
    <mergeCell ref="G241:G242"/>
    <mergeCell ref="U5:Y5"/>
    <mergeCell ref="F269:F270"/>
    <mergeCell ref="X253:X254"/>
    <mergeCell ref="D83:F84"/>
    <mergeCell ref="F171:F172"/>
    <mergeCell ref="H293:H294"/>
    <mergeCell ref="X65:Y65"/>
    <mergeCell ref="R141:R142"/>
    <mergeCell ref="W215:W216"/>
    <mergeCell ref="G40:I40"/>
    <mergeCell ref="G225:G226"/>
    <mergeCell ref="B70:Q70"/>
    <mergeCell ref="R66:S66"/>
    <mergeCell ref="R143:R144"/>
    <mergeCell ref="M209:M210"/>
    <mergeCell ref="T199:T200"/>
    <mergeCell ref="X207:X208"/>
    <mergeCell ref="O153:O154"/>
    <mergeCell ref="G227:G228"/>
    <mergeCell ref="Y297:Y298"/>
    <mergeCell ref="R68:S68"/>
    <mergeCell ref="V263:V264"/>
    <mergeCell ref="H165:H166"/>
    <mergeCell ref="R61:S61"/>
    <mergeCell ref="I291:I292"/>
    <mergeCell ref="V265:V266"/>
    <mergeCell ref="A225:E225"/>
    <mergeCell ref="K173:K174"/>
    <mergeCell ref="I293:I294"/>
    <mergeCell ref="F247:F248"/>
    <mergeCell ref="X233:X234"/>
    <mergeCell ref="A227:E227"/>
    <mergeCell ref="M237:M238"/>
    <mergeCell ref="W259:W260"/>
    <mergeCell ref="W253:W254"/>
    <mergeCell ref="X235:X236"/>
    <mergeCell ref="F243:F244"/>
    <mergeCell ref="A290:E290"/>
    <mergeCell ref="I245:I246"/>
    <mergeCell ref="X167:X168"/>
    <mergeCell ref="F175:F176"/>
    <mergeCell ref="A161:E161"/>
    <mergeCell ref="P235:P236"/>
    <mergeCell ref="R297:R298"/>
    <mergeCell ref="B57:Q57"/>
    <mergeCell ref="W187:W188"/>
    <mergeCell ref="G301:G302"/>
    <mergeCell ref="P207:P208"/>
    <mergeCell ref="A7:C7"/>
    <mergeCell ref="F177:F178"/>
    <mergeCell ref="R299:R300"/>
    <mergeCell ref="W189:W190"/>
    <mergeCell ref="Y251:Y252"/>
    <mergeCell ref="G303:G304"/>
    <mergeCell ref="Y289:Y290"/>
    <mergeCell ref="W113:Y113"/>
    <mergeCell ref="U49:V49"/>
    <mergeCell ref="N159:N160"/>
    <mergeCell ref="F233:F234"/>
    <mergeCell ref="Y157:Y158"/>
    <mergeCell ref="A187:E187"/>
    <mergeCell ref="N161:N162"/>
    <mergeCell ref="F235:F236"/>
    <mergeCell ref="H297:H298"/>
    <mergeCell ref="U151:U152"/>
    <mergeCell ref="W213:W214"/>
    <mergeCell ref="P253:P254"/>
    <mergeCell ref="B75:Q75"/>
    <mergeCell ref="A189:E189"/>
    <mergeCell ref="U287:U288"/>
    <mergeCell ref="W167:W168"/>
    <mergeCell ref="H220:H221"/>
    <mergeCell ref="M137:M138"/>
    <mergeCell ref="H117:I117"/>
    <mergeCell ref="W169:W170"/>
    <mergeCell ref="M139:M140"/>
    <mergeCell ref="O201:O202"/>
    <mergeCell ref="G275:G276"/>
    <mergeCell ref="B54:Q54"/>
    <mergeCell ref="P181:P182"/>
    <mergeCell ref="N265:N266"/>
    <mergeCell ref="Y233:Y234"/>
    <mergeCell ref="G32:I32"/>
    <mergeCell ref="R273:R274"/>
    <mergeCell ref="O203:O204"/>
    <mergeCell ref="G277:G278"/>
    <mergeCell ref="B56:Q56"/>
    <mergeCell ref="X132:X133"/>
    <mergeCell ref="Y235:Y236"/>
    <mergeCell ref="A159:E159"/>
    <mergeCell ref="P225:P226"/>
    <mergeCell ref="Q191:Q192"/>
    <mergeCell ref="K145:K146"/>
    <mergeCell ref="M239:M240"/>
    <mergeCell ref="S297:S298"/>
    <mergeCell ref="A216:E216"/>
    <mergeCell ref="S291:S292"/>
    <mergeCell ref="H295:H296"/>
    <mergeCell ref="L303:L304"/>
    <mergeCell ref="S299:S300"/>
    <mergeCell ref="S293:S294"/>
    <mergeCell ref="V86:Y86"/>
    <mergeCell ref="R104:Y104"/>
    <mergeCell ref="D92:F92"/>
    <mergeCell ref="A91:C91"/>
    <mergeCell ref="P283:P284"/>
    <mergeCell ref="G229:G230"/>
    <mergeCell ref="O189:O190"/>
    <mergeCell ref="Q251:Q252"/>
    <mergeCell ref="R70:S70"/>
    <mergeCell ref="W273:W274"/>
    <mergeCell ref="J265:J266"/>
    <mergeCell ref="A93:C93"/>
    <mergeCell ref="D94:F94"/>
    <mergeCell ref="Y179:Y180"/>
    <mergeCell ref="A234:E234"/>
    <mergeCell ref="L145:L146"/>
    <mergeCell ref="G257:G258"/>
    <mergeCell ref="H225:H226"/>
    <mergeCell ref="N209:N210"/>
    <mergeCell ref="F283:F284"/>
    <mergeCell ref="A229:E229"/>
    <mergeCell ref="U199:U200"/>
    <mergeCell ref="A148:E148"/>
    <mergeCell ref="Y207:Y208"/>
    <mergeCell ref="P153:P154"/>
    <mergeCell ref="X197:X198"/>
    <mergeCell ref="F211:F212"/>
    <mergeCell ref="H267:H268"/>
    <mergeCell ref="S151:S152"/>
    <mergeCell ref="A9:C9"/>
    <mergeCell ref="I249:I250"/>
    <mergeCell ref="S271:S272"/>
    <mergeCell ref="H275:H276"/>
    <mergeCell ref="I6:K6"/>
    <mergeCell ref="W191:W192"/>
    <mergeCell ref="A36:C36"/>
    <mergeCell ref="H181:H182"/>
    <mergeCell ref="Q233:Q234"/>
    <mergeCell ref="F222:Y222"/>
    <mergeCell ref="F237:F238"/>
    <mergeCell ref="J245:J246"/>
    <mergeCell ref="R111:Y111"/>
    <mergeCell ref="Y161:Y162"/>
    <mergeCell ref="Q235:Q236"/>
    <mergeCell ref="E52:Y52"/>
    <mergeCell ref="H227:H228"/>
    <mergeCell ref="W263:W264"/>
    <mergeCell ref="X107:Y107"/>
    <mergeCell ref="O118:Q118"/>
    <mergeCell ref="V12:W12"/>
    <mergeCell ref="U273:U274"/>
    <mergeCell ref="Q167:Q168"/>
    <mergeCell ref="Q161:Q162"/>
    <mergeCell ref="K297:K298"/>
    <mergeCell ref="T293:T294"/>
    <mergeCell ref="F165:F166"/>
    <mergeCell ref="A151:E151"/>
    <mergeCell ref="T76:U76"/>
    <mergeCell ref="X271:X272"/>
    <mergeCell ref="J173:J174"/>
    <mergeCell ref="Q169:Q170"/>
    <mergeCell ref="A150:E150"/>
    <mergeCell ref="S225:S226"/>
    <mergeCell ref="T69:U69"/>
    <mergeCell ref="A144:E144"/>
    <mergeCell ref="K299:K300"/>
    <mergeCell ref="Y209:Y210"/>
    <mergeCell ref="H229:H230"/>
    <mergeCell ref="X273:X274"/>
    <mergeCell ref="K265:K266"/>
    <mergeCell ref="A152:E152"/>
    <mergeCell ref="S227:S228"/>
    <mergeCell ref="G159:G160"/>
    <mergeCell ref="F193:F194"/>
    <mergeCell ref="N295:N296"/>
    <mergeCell ref="G161:G162"/>
    <mergeCell ref="O245:O246"/>
    <mergeCell ref="Q179:Q180"/>
    <mergeCell ref="A291:E291"/>
    <mergeCell ref="H257:H258"/>
    <mergeCell ref="I225:I226"/>
    <mergeCell ref="F209:F210"/>
    <mergeCell ref="Y271:Y272"/>
    <mergeCell ref="S257:S258"/>
    <mergeCell ref="M229:M230"/>
    <mergeCell ref="T225:T226"/>
    <mergeCell ref="X70:Y70"/>
    <mergeCell ref="M118:N118"/>
    <mergeCell ref="L293:L294"/>
    <mergeCell ref="R60:S60"/>
    <mergeCell ref="Q209:Q210"/>
    <mergeCell ref="I283:I284"/>
    <mergeCell ref="J102:K102"/>
    <mergeCell ref="F213:F214"/>
    <mergeCell ref="Y137:Y138"/>
    <mergeCell ref="Q211:Q212"/>
    <mergeCell ref="I285:I286"/>
    <mergeCell ref="R301:R302"/>
    <mergeCell ref="A38:C38"/>
    <mergeCell ref="E48:H48"/>
    <mergeCell ref="F135:Y135"/>
    <mergeCell ref="H183:H184"/>
    <mergeCell ref="A40:C40"/>
    <mergeCell ref="Y195:Y196"/>
    <mergeCell ref="T149:T150"/>
    <mergeCell ref="H185:H186"/>
    <mergeCell ref="J247:J248"/>
    <mergeCell ref="I153:I154"/>
    <mergeCell ref="Y197:Y198"/>
    <mergeCell ref="T151:T152"/>
    <mergeCell ref="J243:J244"/>
    <mergeCell ref="F137:F138"/>
    <mergeCell ref="Q141:Q142"/>
    <mergeCell ref="P169:P170"/>
    <mergeCell ref="S259:S260"/>
    <mergeCell ref="J175:J176"/>
    <mergeCell ref="T191:T192"/>
    <mergeCell ref="G139:G140"/>
    <mergeCell ref="I239:I240"/>
    <mergeCell ref="K301:K302"/>
    <mergeCell ref="I201:I202"/>
    <mergeCell ref="D39:F39"/>
    <mergeCell ref="J177:J178"/>
    <mergeCell ref="V255:V256"/>
    <mergeCell ref="R159:R160"/>
    <mergeCell ref="J233:J234"/>
    <mergeCell ref="A181:E181"/>
    <mergeCell ref="G163:G164"/>
    <mergeCell ref="W207:W208"/>
    <mergeCell ref="K171:K172"/>
    <mergeCell ref="R161:R162"/>
    <mergeCell ref="J235:J236"/>
    <mergeCell ref="L297:L298"/>
    <mergeCell ref="G165:G166"/>
    <mergeCell ref="R58:S58"/>
    <mergeCell ref="F145:F146"/>
    <mergeCell ref="F139:F140"/>
    <mergeCell ref="H201:H202"/>
    <mergeCell ref="I181:I182"/>
    <mergeCell ref="O191:O192"/>
    <mergeCell ref="R233:R234"/>
    <mergeCell ref="S199:S200"/>
    <mergeCell ref="H203:H204"/>
    <mergeCell ref="R235:R236"/>
    <mergeCell ref="I48:K48"/>
    <mergeCell ref="T291:T292"/>
    <mergeCell ref="L301:L302"/>
    <mergeCell ref="A108:G108"/>
    <mergeCell ref="L295:L296"/>
    <mergeCell ref="R62:S62"/>
    <mergeCell ref="P303:P304"/>
    <mergeCell ref="A118:G118"/>
    <mergeCell ref="I169:I170"/>
    <mergeCell ref="W299:W300"/>
    <mergeCell ref="R123:T123"/>
    <mergeCell ref="W255:W256"/>
    <mergeCell ref="W293:W294"/>
    <mergeCell ref="S159:S160"/>
    <mergeCell ref="K233:K234"/>
    <mergeCell ref="U4:Y4"/>
    <mergeCell ref="S189:S190"/>
    <mergeCell ref="U251:U252"/>
    <mergeCell ref="V68:W68"/>
    <mergeCell ref="A106:D106"/>
    <mergeCell ref="E51:Y51"/>
    <mergeCell ref="R118:T118"/>
    <mergeCell ref="L165:L166"/>
    <mergeCell ref="R193:R194"/>
    <mergeCell ref="S161:S162"/>
    <mergeCell ref="V67:W67"/>
    <mergeCell ref="M291:M292"/>
    <mergeCell ref="A83:C84"/>
    <mergeCell ref="N229:N230"/>
    <mergeCell ref="V69:W69"/>
    <mergeCell ref="P145:P146"/>
    <mergeCell ref="M293:M294"/>
    <mergeCell ref="W141:W142"/>
    <mergeCell ref="K257:K258"/>
    <mergeCell ref="V299:V300"/>
    <mergeCell ref="W265:W266"/>
    <mergeCell ref="R139:R140"/>
    <mergeCell ref="T201:T202"/>
    <mergeCell ref="L275:L276"/>
    <mergeCell ref="J39:Y39"/>
    <mergeCell ref="L181:L182"/>
    <mergeCell ref="A236:E236"/>
    <mergeCell ref="U233:U234"/>
    <mergeCell ref="G94:I94"/>
    <mergeCell ref="X112:Y112"/>
    <mergeCell ref="J237:J238"/>
    <mergeCell ref="U103:V103"/>
    <mergeCell ref="N245:N246"/>
    <mergeCell ref="M273:M274"/>
    <mergeCell ref="K175:K176"/>
    <mergeCell ref="U235:U236"/>
    <mergeCell ref="W297:W298"/>
    <mergeCell ref="J239:J240"/>
    <mergeCell ref="L225:L226"/>
    <mergeCell ref="R209:R210"/>
    <mergeCell ref="J283:J284"/>
    <mergeCell ref="Y199:Y200"/>
    <mergeCell ref="G213:G214"/>
    <mergeCell ref="T153:T154"/>
    <mergeCell ref="L227:L228"/>
    <mergeCell ref="U117:V117"/>
    <mergeCell ref="L220:L221"/>
    <mergeCell ref="G295:G296"/>
    <mergeCell ref="P171:P172"/>
    <mergeCell ref="H245:H246"/>
    <mergeCell ref="I183:I184"/>
    <mergeCell ref="A299:E299"/>
    <mergeCell ref="O239:O240"/>
    <mergeCell ref="Q301:Q302"/>
    <mergeCell ref="A293:E293"/>
    <mergeCell ref="V235:V236"/>
    <mergeCell ref="X297:X298"/>
    <mergeCell ref="X291:X292"/>
    <mergeCell ref="K13:L13"/>
    <mergeCell ref="M295:M296"/>
    <mergeCell ref="Q303:Q304"/>
    <mergeCell ref="E121:I121"/>
    <mergeCell ref="A284:E284"/>
    <mergeCell ref="X293:X294"/>
    <mergeCell ref="U283:U284"/>
    <mergeCell ref="O265:O266"/>
    <mergeCell ref="K159:K160"/>
    <mergeCell ref="H277:H278"/>
    <mergeCell ref="V157:V158"/>
    <mergeCell ref="J193:J194"/>
    <mergeCell ref="K161:K162"/>
    <mergeCell ref="B58:Q58"/>
    <mergeCell ref="L257:L258"/>
    <mergeCell ref="P102:Q102"/>
    <mergeCell ref="M225:M226"/>
    <mergeCell ref="J124:Q124"/>
    <mergeCell ref="B60:Q60"/>
    <mergeCell ref="U153:U154"/>
    <mergeCell ref="X59:Y59"/>
    <mergeCell ref="D40:F40"/>
    <mergeCell ref="H147:H148"/>
    <mergeCell ref="J209:J210"/>
    <mergeCell ref="M220:M221"/>
    <mergeCell ref="V301:V302"/>
    <mergeCell ref="V57:W57"/>
    <mergeCell ref="V179:V180"/>
    <mergeCell ref="A87:C87"/>
    <mergeCell ref="T141:T142"/>
    <mergeCell ref="I145:I146"/>
    <mergeCell ref="A77:Q77"/>
    <mergeCell ref="A89:C89"/>
    <mergeCell ref="L183:L184"/>
    <mergeCell ref="T143:T144"/>
    <mergeCell ref="V58:W58"/>
    <mergeCell ref="I147:I148"/>
    <mergeCell ref="K209:K210"/>
    <mergeCell ref="F163:F164"/>
    <mergeCell ref="A271:E271"/>
    <mergeCell ref="L185:L186"/>
    <mergeCell ref="N247:N248"/>
    <mergeCell ref="V207:V208"/>
    <mergeCell ref="M153:M154"/>
    <mergeCell ref="S137:S138"/>
    <mergeCell ref="K211:K212"/>
    <mergeCell ref="M267:M268"/>
    <mergeCell ref="U107:V107"/>
    <mergeCell ref="A273:E273"/>
    <mergeCell ref="F287:F288"/>
    <mergeCell ref="J137:J138"/>
    <mergeCell ref="A302:E302"/>
    <mergeCell ref="T169:T170"/>
    <mergeCell ref="J145:J146"/>
    <mergeCell ref="A298:E298"/>
    <mergeCell ref="I173:I174"/>
    <mergeCell ref="J139:J140"/>
    <mergeCell ref="P297:P298"/>
    <mergeCell ref="K165:K166"/>
    <mergeCell ref="O173:O174"/>
    <mergeCell ref="G91:I91"/>
    <mergeCell ref="X225:X226"/>
    <mergeCell ref="A16:F17"/>
    <mergeCell ref="P293:P294"/>
    <mergeCell ref="V60:W60"/>
    <mergeCell ref="J87:M87"/>
    <mergeCell ref="A92:C92"/>
    <mergeCell ref="X227:X228"/>
    <mergeCell ref="L159:L160"/>
    <mergeCell ref="R181:R182"/>
    <mergeCell ref="S147:S148"/>
    <mergeCell ref="J89:M89"/>
    <mergeCell ref="K193:K194"/>
    <mergeCell ref="A94:C94"/>
    <mergeCell ref="M249:M250"/>
    <mergeCell ref="U211:U212"/>
    <mergeCell ref="F147:F148"/>
    <mergeCell ref="M285:M286"/>
    <mergeCell ref="X263:X264"/>
    <mergeCell ref="X151:X152"/>
    <mergeCell ref="X265:X266"/>
    <mergeCell ref="L201:L202"/>
    <mergeCell ref="U102:V102"/>
    <mergeCell ref="V70:W70"/>
    <mergeCell ref="M181:M182"/>
    <mergeCell ref="O237:O238"/>
    <mergeCell ref="V233:V234"/>
    <mergeCell ref="L203:L204"/>
    <mergeCell ref="U207:U208"/>
    <mergeCell ref="I7:K7"/>
    <mergeCell ref="P237:P238"/>
    <mergeCell ref="W233:W234"/>
    <mergeCell ref="X77:Y77"/>
    <mergeCell ref="X199:X200"/>
    <mergeCell ref="W227:W228"/>
    <mergeCell ref="H279:H280"/>
    <mergeCell ref="D9:Y9"/>
    <mergeCell ref="V159:V160"/>
    <mergeCell ref="R295:R296"/>
    <mergeCell ref="N233:N234"/>
    <mergeCell ref="Y291:Y292"/>
    <mergeCell ref="K163:K164"/>
    <mergeCell ref="J127:K127"/>
    <mergeCell ref="O171:O172"/>
    <mergeCell ref="G245:G246"/>
    <mergeCell ref="V167:V168"/>
    <mergeCell ref="J92:M92"/>
    <mergeCell ref="V161:V162"/>
    <mergeCell ref="N235:N236"/>
    <mergeCell ref="R137:R138"/>
    <mergeCell ref="J211:J212"/>
    <mergeCell ref="M117:N117"/>
    <mergeCell ref="L267:L268"/>
    <mergeCell ref="J108:L108"/>
    <mergeCell ref="W271:W272"/>
    <mergeCell ref="Q139:Q140"/>
    <mergeCell ref="T181:T182"/>
    <mergeCell ref="U149:U150"/>
    <mergeCell ref="I185:I186"/>
    <mergeCell ref="K241:K242"/>
    <mergeCell ref="S203:S204"/>
    <mergeCell ref="A280:E280"/>
    <mergeCell ref="Q293:Q294"/>
    <mergeCell ref="A274:E274"/>
    <mergeCell ref="I149:I150"/>
    <mergeCell ref="G173:G174"/>
    <mergeCell ref="V209:V210"/>
    <mergeCell ref="N283:N284"/>
    <mergeCell ref="A186:E186"/>
    <mergeCell ref="K213:K214"/>
    <mergeCell ref="I237:I238"/>
    <mergeCell ref="A275:E275"/>
    <mergeCell ref="V211:V212"/>
    <mergeCell ref="I203:I204"/>
    <mergeCell ref="A146:E146"/>
    <mergeCell ref="L245:L246"/>
    <mergeCell ref="M183:M184"/>
    <mergeCell ref="U143:U144"/>
    <mergeCell ref="U255:U256"/>
    <mergeCell ref="M185:M186"/>
    <mergeCell ref="A204:E204"/>
    <mergeCell ref="O241:O242"/>
    <mergeCell ref="U167:U168"/>
    <mergeCell ref="A206:E206"/>
    <mergeCell ref="F220:F221"/>
    <mergeCell ref="O243:O244"/>
    <mergeCell ref="A199:E199"/>
    <mergeCell ref="U169:U170"/>
    <mergeCell ref="A288:E288"/>
    <mergeCell ref="M201:M202"/>
    <mergeCell ref="K277:K278"/>
    <mergeCell ref="K243:K244"/>
    <mergeCell ref="G181:G182"/>
    <mergeCell ref="P275:P276"/>
    <mergeCell ref="O303:O304"/>
    <mergeCell ref="P269:P270"/>
    <mergeCell ref="P241:P242"/>
    <mergeCell ref="G247:G248"/>
    <mergeCell ref="A261:E261"/>
    <mergeCell ref="L137:L138"/>
    <mergeCell ref="W143:W144"/>
    <mergeCell ref="F267:F268"/>
    <mergeCell ref="A138:E138"/>
    <mergeCell ref="Q273:Q274"/>
    <mergeCell ref="O175:O176"/>
    <mergeCell ref="A132:E132"/>
    <mergeCell ref="G249:G250"/>
    <mergeCell ref="F277:F278"/>
    <mergeCell ref="G243:G244"/>
    <mergeCell ref="Y191:Y192"/>
    <mergeCell ref="J285:J286"/>
    <mergeCell ref="A256:E256"/>
    <mergeCell ref="L132:L133"/>
    <mergeCell ref="A133:E133"/>
    <mergeCell ref="A264:E264"/>
    <mergeCell ref="W159:W160"/>
    <mergeCell ref="O233:O234"/>
    <mergeCell ref="L163:L164"/>
    <mergeCell ref="F149:F150"/>
    <mergeCell ref="P165:P166"/>
    <mergeCell ref="V193:V194"/>
    <mergeCell ref="W161:W162"/>
    <mergeCell ref="Q291:Q292"/>
    <mergeCell ref="R229:R230"/>
    <mergeCell ref="M155:M156"/>
    <mergeCell ref="P257:P258"/>
    <mergeCell ref="J229:J230"/>
    <mergeCell ref="Q225:Q226"/>
    <mergeCell ref="R69:S69"/>
    <mergeCell ref="Y153:Y154"/>
    <mergeCell ref="N91:Q91"/>
    <mergeCell ref="L147:L148"/>
    <mergeCell ref="A208:E208"/>
    <mergeCell ref="Q220:Q221"/>
    <mergeCell ref="F249:F250"/>
    <mergeCell ref="V137:V138"/>
    <mergeCell ref="A210:E210"/>
    <mergeCell ref="N211:N212"/>
    <mergeCell ref="G231:G232"/>
    <mergeCell ref="F134:Y134"/>
    <mergeCell ref="N177:N178"/>
    <mergeCell ref="A203:E203"/>
    <mergeCell ref="V139:V140"/>
    <mergeCell ref="X201:X202"/>
    <mergeCell ref="V88:Y88"/>
    <mergeCell ref="T145:T146"/>
    <mergeCell ref="Y149:Y150"/>
    <mergeCell ref="Y151:Y152"/>
    <mergeCell ref="K137:K138"/>
    <mergeCell ref="W225:W226"/>
    <mergeCell ref="X191:X192"/>
    <mergeCell ref="K139:K140"/>
    <mergeCell ref="G137:G138"/>
    <mergeCell ref="T74:U74"/>
    <mergeCell ref="A149:E149"/>
    <mergeCell ref="R83:Y83"/>
    <mergeCell ref="I220:I221"/>
    <mergeCell ref="A8:C8"/>
    <mergeCell ref="V92:Y92"/>
    <mergeCell ref="A164:E164"/>
    <mergeCell ref="S239:S240"/>
    <mergeCell ref="U301:U302"/>
    <mergeCell ref="N167:N168"/>
    <mergeCell ref="H243:H244"/>
    <mergeCell ref="A10:C10"/>
    <mergeCell ref="Q295:Q296"/>
    <mergeCell ref="D38:F38"/>
    <mergeCell ref="V94:Y94"/>
    <mergeCell ref="U303:U304"/>
    <mergeCell ref="A195:E195"/>
    <mergeCell ref="O257:O258"/>
    <mergeCell ref="X187:X188"/>
    <mergeCell ref="A39:C39"/>
    <mergeCell ref="Q163:Q164"/>
    <mergeCell ref="A188:E188"/>
    <mergeCell ref="X153:X154"/>
    <mergeCell ref="Q199:Q200"/>
    <mergeCell ref="P227:P228"/>
    <mergeCell ref="A180:E180"/>
    <mergeCell ref="Y283:Y284"/>
    <mergeCell ref="J121:Q121"/>
    <mergeCell ref="W118:Y118"/>
    <mergeCell ref="A190:E190"/>
    <mergeCell ref="R291:R292"/>
    <mergeCell ref="L277:L278"/>
    <mergeCell ref="H171:H172"/>
    <mergeCell ref="N193:N194"/>
    <mergeCell ref="O161:O162"/>
    <mergeCell ref="R67:S67"/>
    <mergeCell ref="J35:Y35"/>
    <mergeCell ref="S173:S174"/>
    <mergeCell ref="D95:F95"/>
    <mergeCell ref="H177:H178"/>
    <mergeCell ref="I267:I268"/>
    <mergeCell ref="N87:Q87"/>
    <mergeCell ref="T265:T266"/>
    <mergeCell ref="P159:P160"/>
    <mergeCell ref="F251:F252"/>
    <mergeCell ref="A237:E237"/>
    <mergeCell ref="N89:Q89"/>
    <mergeCell ref="I171:I172"/>
    <mergeCell ref="O193:O194"/>
    <mergeCell ref="P161:P162"/>
    <mergeCell ref="Q249:Q250"/>
    <mergeCell ref="J147:J148"/>
    <mergeCell ref="F253:F254"/>
    <mergeCell ref="F155:F156"/>
    <mergeCell ref="X141:X142"/>
    <mergeCell ref="A238:E238"/>
    <mergeCell ref="M145:M146"/>
    <mergeCell ref="X143:X144"/>
    <mergeCell ref="M147:M148"/>
    <mergeCell ref="O209:O210"/>
    <mergeCell ref="A263:E263"/>
    <mergeCell ref="J163:J164"/>
    <mergeCell ref="R245:R246"/>
    <mergeCell ref="R220:R221"/>
    <mergeCell ref="Q153:Q154"/>
    <mergeCell ref="W137:W138"/>
    <mergeCell ref="A134:E134"/>
    <mergeCell ref="O211:O212"/>
    <mergeCell ref="Y169:Y170"/>
    <mergeCell ref="H149:H150"/>
    <mergeCell ref="F223:Y223"/>
    <mergeCell ref="G177:G178"/>
    <mergeCell ref="J205:J206"/>
    <mergeCell ref="O139:O140"/>
    <mergeCell ref="Q201:Q202"/>
    <mergeCell ref="P229:P230"/>
    <mergeCell ref="A100:I100"/>
    <mergeCell ref="I269:I270"/>
    <mergeCell ref="J38:Y38"/>
    <mergeCell ref="T237:T238"/>
    <mergeCell ref="I241:I242"/>
    <mergeCell ref="Q203:Q204"/>
    <mergeCell ref="J40:Y40"/>
    <mergeCell ref="T239:T240"/>
    <mergeCell ref="R106:Y106"/>
    <mergeCell ref="T75:U75"/>
    <mergeCell ref="N92:Q92"/>
    <mergeCell ref="H175:H176"/>
    <mergeCell ref="G203:G204"/>
    <mergeCell ref="R71:S71"/>
    <mergeCell ref="R117:S117"/>
    <mergeCell ref="Q267:Q268"/>
    <mergeCell ref="O108:Q108"/>
    <mergeCell ref="A167:E167"/>
    <mergeCell ref="X169:X170"/>
    <mergeCell ref="A169:E169"/>
    <mergeCell ref="F183:F184"/>
    <mergeCell ref="B65:Q65"/>
    <mergeCell ref="M173:M174"/>
    <mergeCell ref="Q181:Q182"/>
    <mergeCell ref="A300:E300"/>
    <mergeCell ref="L239:L240"/>
    <mergeCell ref="N301:N302"/>
    <mergeCell ref="U291:U292"/>
    <mergeCell ref="V229:V230"/>
    <mergeCell ref="Q155:Q156"/>
    <mergeCell ref="N303:N304"/>
    <mergeCell ref="X145:X146"/>
    <mergeCell ref="U293:U294"/>
    <mergeCell ref="P185:P186"/>
    <mergeCell ref="R247:R248"/>
    <mergeCell ref="X147:X148"/>
    <mergeCell ref="R283:R284"/>
    <mergeCell ref="B66:Q66"/>
    <mergeCell ref="K259:K260"/>
    <mergeCell ref="R249:R250"/>
    <mergeCell ref="T61:U61"/>
    <mergeCell ref="G193:G194"/>
    <mergeCell ref="A171:E171"/>
    <mergeCell ref="N145:N146"/>
    <mergeCell ref="A165:E165"/>
    <mergeCell ref="P201:P202"/>
    <mergeCell ref="B61:Q61"/>
    <mergeCell ref="J106:Q106"/>
    <mergeCell ref="Q183:Q184"/>
    <mergeCell ref="I257:I258"/>
    <mergeCell ref="M102:N102"/>
    <mergeCell ref="A173:E173"/>
    <mergeCell ref="P203:P204"/>
    <mergeCell ref="Q185:Q186"/>
    <mergeCell ref="R153:R154"/>
    <mergeCell ref="S241:S242"/>
    <mergeCell ref="A41:C41"/>
    <mergeCell ref="H193:H194"/>
    <mergeCell ref="P295:P296"/>
    <mergeCell ref="J249:J250"/>
    <mergeCell ref="Q245:Q246"/>
    <mergeCell ref="U6:Y6"/>
    <mergeCell ref="R183:R184"/>
    <mergeCell ref="J257:J258"/>
    <mergeCell ref="R177:R178"/>
    <mergeCell ref="S303:S304"/>
    <mergeCell ref="J42:Y42"/>
    <mergeCell ref="T241:T242"/>
    <mergeCell ref="V59:W59"/>
    <mergeCell ref="I155:I156"/>
    <mergeCell ref="G269:G270"/>
    <mergeCell ref="S171:S172"/>
    <mergeCell ref="K220:K221"/>
    <mergeCell ref="T243:T244"/>
    <mergeCell ref="S207:S208"/>
    <mergeCell ref="T297:T298"/>
    <mergeCell ref="P137:P138"/>
    <mergeCell ref="I157:I158"/>
    <mergeCell ref="J267:J268"/>
    <mergeCell ref="V54:W54"/>
    <mergeCell ref="J277:J278"/>
    <mergeCell ref="T299:T300"/>
    <mergeCell ref="P139:P140"/>
    <mergeCell ref="U118:V118"/>
    <mergeCell ref="L155:L156"/>
    <mergeCell ref="N285:N286"/>
    <mergeCell ref="K215:K216"/>
    <mergeCell ref="P132:P133"/>
    <mergeCell ref="Y303:Y304"/>
    <mergeCell ref="R169:R170"/>
    <mergeCell ref="A52:D52"/>
    <mergeCell ref="H261:H262"/>
    <mergeCell ref="F285:F286"/>
    <mergeCell ref="K181:K182"/>
    <mergeCell ref="U163:U164"/>
    <mergeCell ref="H132:H133"/>
    <mergeCell ref="T227:T228"/>
    <mergeCell ref="T63:U63"/>
    <mergeCell ref="U165:U166"/>
    <mergeCell ref="O301:O302"/>
    <mergeCell ref="V291:V292"/>
    <mergeCell ref="T71:U71"/>
    <mergeCell ref="P277:P278"/>
    <mergeCell ref="R88:U88"/>
    <mergeCell ref="L171:L172"/>
    <mergeCell ref="R155:R156"/>
    <mergeCell ref="X73:Y73"/>
    <mergeCell ref="Y145:Y146"/>
    <mergeCell ref="S275:S276"/>
    <mergeCell ref="R90:U90"/>
    <mergeCell ref="L173:L174"/>
    <mergeCell ref="L139:L140"/>
    <mergeCell ref="N201:N202"/>
    <mergeCell ref="F275:F276"/>
    <mergeCell ref="R91:U91"/>
    <mergeCell ref="F136:Y136"/>
    <mergeCell ref="R102:S102"/>
    <mergeCell ref="J181:J182"/>
    <mergeCell ref="F143:F144"/>
    <mergeCell ref="S233:S234"/>
    <mergeCell ref="T301:T302"/>
    <mergeCell ref="U267:U268"/>
    <mergeCell ref="F203:F204"/>
    <mergeCell ref="J93:M93"/>
    <mergeCell ref="U269:U270"/>
    <mergeCell ref="X58:Y58"/>
    <mergeCell ref="N289:N290"/>
    <mergeCell ref="J183:J184"/>
    <mergeCell ref="U181:U182"/>
    <mergeCell ref="X60:Y60"/>
    <mergeCell ref="J185:J186"/>
    <mergeCell ref="L247:L248"/>
    <mergeCell ref="K275:K276"/>
    <mergeCell ref="L241:L242"/>
    <mergeCell ref="O283:O284"/>
    <mergeCell ref="V273:V274"/>
    <mergeCell ref="W239:W240"/>
    <mergeCell ref="R167:R168"/>
    <mergeCell ref="L243:L244"/>
    <mergeCell ref="H137:H138"/>
    <mergeCell ref="G141:G142"/>
    <mergeCell ref="T77:U77"/>
    <mergeCell ref="T165:T166"/>
    <mergeCell ref="Y141:Y142"/>
    <mergeCell ref="Y143:Y144"/>
    <mergeCell ref="Y255:Y256"/>
    <mergeCell ref="G209:G210"/>
    <mergeCell ref="R267:R268"/>
    <mergeCell ref="Y167:Y168"/>
    <mergeCell ref="J220:J221"/>
    <mergeCell ref="W281:W282"/>
    <mergeCell ref="S243:S244"/>
    <mergeCell ref="U7:Y7"/>
    <mergeCell ref="L177:L178"/>
    <mergeCell ref="I132:I133"/>
    <mergeCell ref="X255:X256"/>
    <mergeCell ref="R5:T5"/>
    <mergeCell ref="Q275:Q276"/>
    <mergeCell ref="M163:M164"/>
    <mergeCell ref="U220:U221"/>
    <mergeCell ref="U8:Y8"/>
    <mergeCell ref="M171:M172"/>
    <mergeCell ref="W231:W232"/>
    <mergeCell ref="M165:M166"/>
    <mergeCell ref="S193:S194"/>
    <mergeCell ref="T161:T162"/>
    <mergeCell ref="U249:U250"/>
    <mergeCell ref="T275:T276"/>
    <mergeCell ref="O229:O230"/>
    <mergeCell ref="J155:J156"/>
    <mergeCell ref="Q145:Q146"/>
    <mergeCell ref="J157:J158"/>
    <mergeCell ref="K247:K248"/>
    <mergeCell ref="Q147:Q148"/>
    <mergeCell ref="S209:S210"/>
    <mergeCell ref="V245:V246"/>
    <mergeCell ref="V220:V221"/>
    <mergeCell ref="S175:S176"/>
    <mergeCell ref="K249:K250"/>
    <mergeCell ref="S211:S212"/>
    <mergeCell ref="N171:N172"/>
    <mergeCell ref="O137:O138"/>
    <mergeCell ref="J117:K117"/>
    <mergeCell ref="R173:R174"/>
    <mergeCell ref="I295:I296"/>
    <mergeCell ref="R171:R172"/>
    <mergeCell ref="K183:K184"/>
    <mergeCell ref="K177:K178"/>
    <mergeCell ref="A245:E245"/>
    <mergeCell ref="X237:X238"/>
    <mergeCell ref="F289:F290"/>
    <mergeCell ref="M241:M242"/>
    <mergeCell ref="X239:X240"/>
    <mergeCell ref="M243:M244"/>
    <mergeCell ref="G283:G284"/>
    <mergeCell ref="R92:U92"/>
    <mergeCell ref="T257:T258"/>
    <mergeCell ref="A255:E255"/>
    <mergeCell ref="U225:U226"/>
    <mergeCell ref="V191:V192"/>
    <mergeCell ref="G285:G286"/>
    <mergeCell ref="R94:U94"/>
    <mergeCell ref="G175:G176"/>
    <mergeCell ref="H157:H158"/>
    <mergeCell ref="V295:V296"/>
    <mergeCell ref="J287:J288"/>
    <mergeCell ref="J289:J290"/>
    <mergeCell ref="A162:E162"/>
    <mergeCell ref="F185:F186"/>
    <mergeCell ref="H247:H248"/>
    <mergeCell ref="H241:H242"/>
    <mergeCell ref="U145:U146"/>
    <mergeCell ref="J116:Q116"/>
    <mergeCell ref="W201:W202"/>
    <mergeCell ref="O275:O276"/>
    <mergeCell ref="H173:H174"/>
    <mergeCell ref="R303:R304"/>
    <mergeCell ref="J159:J160"/>
    <mergeCell ref="Y293:Y294"/>
    <mergeCell ref="Y265:Y266"/>
    <mergeCell ref="N163:N164"/>
    <mergeCell ref="T185:T186"/>
    <mergeCell ref="V247:V248"/>
    <mergeCell ref="J91:M91"/>
    <mergeCell ref="O259:O260"/>
    <mergeCell ref="F205:F206"/>
    <mergeCell ref="A191:E191"/>
    <mergeCell ref="N165:N166"/>
    <mergeCell ref="T193:T194"/>
    <mergeCell ref="V249:V250"/>
    <mergeCell ref="G49:I49"/>
    <mergeCell ref="X67:Y67"/>
    <mergeCell ref="X61:Y61"/>
    <mergeCell ref="I277:I278"/>
    <mergeCell ref="K155:K156"/>
    <mergeCell ref="R145:R146"/>
    <mergeCell ref="I205:I206"/>
    <mergeCell ref="X62:Y62"/>
    <mergeCell ref="R114:Y114"/>
    <mergeCell ref="R147:R148"/>
    <mergeCell ref="T209:T210"/>
    <mergeCell ref="T203:T204"/>
    <mergeCell ref="A242:E242"/>
    <mergeCell ref="X64:Y64"/>
    <mergeCell ref="Y301:Y302"/>
    <mergeCell ref="V153:V154"/>
    <mergeCell ref="V267:V268"/>
    <mergeCell ref="O287:O288"/>
    <mergeCell ref="G287:G288"/>
    <mergeCell ref="G34:I34"/>
    <mergeCell ref="M271:M272"/>
    <mergeCell ref="AF225:AF226"/>
    <mergeCell ref="O205:O206"/>
    <mergeCell ref="X299:X300"/>
    <mergeCell ref="T139:T140"/>
    <mergeCell ref="G279:G280"/>
    <mergeCell ref="U229:U230"/>
    <mergeCell ref="P155:P156"/>
    <mergeCell ref="R285:R286"/>
    <mergeCell ref="A172:E172"/>
    <mergeCell ref="Y237:Y238"/>
    <mergeCell ref="G289:G290"/>
    <mergeCell ref="C26:X27"/>
    <mergeCell ref="C19:X19"/>
    <mergeCell ref="A292:E292"/>
    <mergeCell ref="AF227:AF228"/>
    <mergeCell ref="A286:E286"/>
    <mergeCell ref="N181:N182"/>
    <mergeCell ref="B59:Q59"/>
    <mergeCell ref="A294:E294"/>
    <mergeCell ref="N147:N148"/>
    <mergeCell ref="P209:P210"/>
    <mergeCell ref="H283:H284"/>
    <mergeCell ref="X171:X172"/>
    <mergeCell ref="P245:P246"/>
    <mergeCell ref="F179:F180"/>
    <mergeCell ref="P239:P240"/>
    <mergeCell ref="E116:I116"/>
    <mergeCell ref="P211:P212"/>
    <mergeCell ref="H285:H286"/>
    <mergeCell ref="S301:S302"/>
    <mergeCell ref="A220:E220"/>
    <mergeCell ref="S295:S296"/>
    <mergeCell ref="J123:L123"/>
    <mergeCell ref="I281:I282"/>
    <mergeCell ref="V155:V156"/>
    <mergeCell ref="U183:U184"/>
    <mergeCell ref="A222:E222"/>
    <mergeCell ref="M257:M258"/>
    <mergeCell ref="J90:M90"/>
    <mergeCell ref="W275:W276"/>
    <mergeCell ref="H211:H212"/>
    <mergeCell ref="V90:Y90"/>
    <mergeCell ref="L279:L280"/>
    <mergeCell ref="A95:C95"/>
    <mergeCell ref="U108:V108"/>
    <mergeCell ref="W247:W248"/>
    <mergeCell ref="J269:J270"/>
    <mergeCell ref="G205:G206"/>
    <mergeCell ref="J113:L113"/>
    <mergeCell ref="A246:E246"/>
    <mergeCell ref="W243:W244"/>
    <mergeCell ref="V91:Y91"/>
    <mergeCell ref="G259:G260"/>
    <mergeCell ref="L193:L194"/>
    <mergeCell ref="A248:E248"/>
    <mergeCell ref="N249:N250"/>
    <mergeCell ref="U201:U202"/>
    <mergeCell ref="G261:G262"/>
    <mergeCell ref="V183:V184"/>
    <mergeCell ref="N257:N258"/>
    <mergeCell ref="V177:V178"/>
    <mergeCell ref="I253:I254"/>
    <mergeCell ref="H281:H282"/>
    <mergeCell ref="P243:P244"/>
    <mergeCell ref="S285:S286"/>
    <mergeCell ref="V169:V170"/>
    <mergeCell ref="F224:Y224"/>
    <mergeCell ref="J128:K128"/>
    <mergeCell ref="U132:U133"/>
    <mergeCell ref="R54:S54"/>
    <mergeCell ref="P112:Q112"/>
    <mergeCell ref="O181:O182"/>
    <mergeCell ref="G215:G216"/>
    <mergeCell ref="Y163:Y164"/>
    <mergeCell ref="Q237:Q238"/>
    <mergeCell ref="R56:S56"/>
    <mergeCell ref="F241:F242"/>
    <mergeCell ref="J95:M95"/>
    <mergeCell ref="Y165:Y166"/>
    <mergeCell ref="I279:I280"/>
    <mergeCell ref="Q239:Q240"/>
    <mergeCell ref="U203:U204"/>
    <mergeCell ref="R103:T103"/>
    <mergeCell ref="X241:X242"/>
    <mergeCell ref="A113:G113"/>
    <mergeCell ref="W171:W172"/>
    <mergeCell ref="A116:D116"/>
    <mergeCell ref="O220:O221"/>
    <mergeCell ref="X243:X244"/>
    <mergeCell ref="L175:L176"/>
    <mergeCell ref="T137:T138"/>
    <mergeCell ref="N267:N268"/>
    <mergeCell ref="W173:W174"/>
    <mergeCell ref="K303:K304"/>
    <mergeCell ref="G265:G266"/>
    <mergeCell ref="A285:E285"/>
    <mergeCell ref="K269:K270"/>
    <mergeCell ref="F195:F196"/>
    <mergeCell ref="D4:H4"/>
    <mergeCell ref="O247:O248"/>
    <mergeCell ref="E101:I101"/>
    <mergeCell ref="F197:F198"/>
    <mergeCell ref="H259:H260"/>
    <mergeCell ref="M193:M194"/>
    <mergeCell ref="W175:W176"/>
    <mergeCell ref="O249:O250"/>
    <mergeCell ref="X301:X302"/>
    <mergeCell ref="A295:E295"/>
    <mergeCell ref="R7:T7"/>
    <mergeCell ref="V141:V142"/>
    <mergeCell ref="W177:W178"/>
    <mergeCell ref="G38:I38"/>
    <mergeCell ref="A207:E207"/>
    <mergeCell ref="A182:E182"/>
    <mergeCell ref="V143:V144"/>
    <mergeCell ref="A296:E296"/>
    <mergeCell ref="M203:M204"/>
    <mergeCell ref="J103:L103"/>
    <mergeCell ref="H163:H164"/>
    <mergeCell ref="G189:G190"/>
    <mergeCell ref="N185:N186"/>
    <mergeCell ref="B63:Q63"/>
    <mergeCell ref="S283:S284"/>
    <mergeCell ref="N151:N152"/>
    <mergeCell ref="P213:P214"/>
    <mergeCell ref="X257:X258"/>
    <mergeCell ref="F271:F272"/>
    <mergeCell ref="Y225:Y226"/>
    <mergeCell ref="H205:H206"/>
    <mergeCell ref="X102:Y102"/>
    <mergeCell ref="K285:K286"/>
    <mergeCell ref="H215:H216"/>
    <mergeCell ref="R237:R238"/>
    <mergeCell ref="M132:M133"/>
    <mergeCell ref="Y227:Y228"/>
    <mergeCell ref="H112:I112"/>
    <mergeCell ref="U275:U276"/>
    <mergeCell ref="J279:J280"/>
    <mergeCell ref="R239:R240"/>
    <mergeCell ref="Y220:Y221"/>
    <mergeCell ref="T295:T296"/>
    <mergeCell ref="A153:E153"/>
    <mergeCell ref="G147:G148"/>
    <mergeCell ref="O231:O232"/>
    <mergeCell ref="Q171:Q172"/>
    <mergeCell ref="Q165:Q166"/>
    <mergeCell ref="X161:X162"/>
    <mergeCell ref="G263:G264"/>
    <mergeCell ref="A283:E283"/>
    <mergeCell ref="A277:E277"/>
    <mergeCell ref="Q137:Q138"/>
    <mergeCell ref="X275:X276"/>
    <mergeCell ref="I211:I212"/>
    <mergeCell ref="K267:K268"/>
    <mergeCell ref="A154:E154"/>
    <mergeCell ref="S229:S230"/>
    <mergeCell ref="H287:H288"/>
    <mergeCell ref="D87:F87"/>
    <mergeCell ref="A86:C86"/>
    <mergeCell ref="A42:C42"/>
    <mergeCell ref="H187:H188"/>
    <mergeCell ref="O183:O184"/>
    <mergeCell ref="O177:O178"/>
    <mergeCell ref="H189:H190"/>
    <mergeCell ref="J251:J252"/>
    <mergeCell ref="Q241:Q242"/>
    <mergeCell ref="A141:E141"/>
    <mergeCell ref="T60:U60"/>
    <mergeCell ref="A135:E135"/>
    <mergeCell ref="Q243:Q244"/>
    <mergeCell ref="A224:E224"/>
    <mergeCell ref="F157:F158"/>
    <mergeCell ref="F151:F152"/>
    <mergeCell ref="H213:H214"/>
    <mergeCell ref="P173:P174"/>
    <mergeCell ref="T73:U73"/>
    <mergeCell ref="A244:E244"/>
    <mergeCell ref="N220:N221"/>
    <mergeCell ref="E80:G80"/>
    <mergeCell ref="N90:Q90"/>
    <mergeCell ref="A49:F49"/>
    <mergeCell ref="T59:U59"/>
    <mergeCell ref="H153:H154"/>
    <mergeCell ref="A163:E163"/>
    <mergeCell ref="N137:N138"/>
    <mergeCell ref="D41:F41"/>
    <mergeCell ref="L283:L284"/>
    <mergeCell ref="G151:G152"/>
    <mergeCell ref="I213:I214"/>
    <mergeCell ref="J179:J180"/>
    <mergeCell ref="Q175:Q176"/>
    <mergeCell ref="Y257:Y258"/>
    <mergeCell ref="I243:I244"/>
    <mergeCell ref="L4:Q4"/>
    <mergeCell ref="D43:F43"/>
    <mergeCell ref="T211:T212"/>
    <mergeCell ref="L285:L286"/>
    <mergeCell ref="I215:I216"/>
    <mergeCell ref="A183:E183"/>
    <mergeCell ref="N132:N133"/>
    <mergeCell ref="W209:W210"/>
    <mergeCell ref="A4:C4"/>
    <mergeCell ref="R163:R164"/>
    <mergeCell ref="F199:F200"/>
    <mergeCell ref="X185:X186"/>
    <mergeCell ref="R165:R166"/>
    <mergeCell ref="X193:X194"/>
    <mergeCell ref="H263:H264"/>
    <mergeCell ref="V17:X17"/>
    <mergeCell ref="N93:Q93"/>
    <mergeCell ref="K50:N50"/>
    <mergeCell ref="T229:T230"/>
    <mergeCell ref="R72:S72"/>
    <mergeCell ref="O155:O156"/>
    <mergeCell ref="N183:N184"/>
    <mergeCell ref="A209:E209"/>
    <mergeCell ref="F257:F258"/>
    <mergeCell ref="P12:S12"/>
    <mergeCell ref="S145:S146"/>
    <mergeCell ref="J43:Y43"/>
    <mergeCell ref="M275:M276"/>
    <mergeCell ref="S181:S182"/>
    <mergeCell ref="U237:U238"/>
    <mergeCell ref="I273:I274"/>
    <mergeCell ref="J241:J242"/>
    <mergeCell ref="U209:U210"/>
    <mergeCell ref="M283:M284"/>
    <mergeCell ref="N95:Q95"/>
    <mergeCell ref="M277:M278"/>
    <mergeCell ref="U239:U240"/>
    <mergeCell ref="W301:W302"/>
    <mergeCell ref="A35:C35"/>
    <mergeCell ref="W295:W296"/>
    <mergeCell ref="W267:W268"/>
    <mergeCell ref="Y183:Y184"/>
    <mergeCell ref="Q257:Q258"/>
    <mergeCell ref="O159:O160"/>
    <mergeCell ref="F261:F262"/>
    <mergeCell ref="W269:W270"/>
    <mergeCell ref="R195:R196"/>
    <mergeCell ref="P279:P280"/>
    <mergeCell ref="S163:S164"/>
    <mergeCell ref="Y185:Y186"/>
    <mergeCell ref="I255:I256"/>
    <mergeCell ref="A240:E240"/>
    <mergeCell ref="F132:F133"/>
    <mergeCell ref="N269:N270"/>
    <mergeCell ref="K205:K206"/>
    <mergeCell ref="S165:S166"/>
    <mergeCell ref="C22:X23"/>
    <mergeCell ref="W257:W258"/>
    <mergeCell ref="B62:Q62"/>
    <mergeCell ref="T187:T188"/>
    <mergeCell ref="L261:L262"/>
    <mergeCell ref="J101:Q101"/>
    <mergeCell ref="D42:F42"/>
    <mergeCell ref="H155:H156"/>
    <mergeCell ref="J100:Q100"/>
    <mergeCell ref="W103:Y103"/>
    <mergeCell ref="D44:F44"/>
    <mergeCell ref="X63:Y63"/>
    <mergeCell ref="I247:I248"/>
    <mergeCell ref="J213:J214"/>
    <mergeCell ref="G86:I86"/>
    <mergeCell ref="T245:T246"/>
    <mergeCell ref="W283:W284"/>
    <mergeCell ref="L281:L282"/>
    <mergeCell ref="J122:K122"/>
    <mergeCell ref="J41:Y41"/>
    <mergeCell ref="I271:I272"/>
    <mergeCell ref="V71:W71"/>
    <mergeCell ref="H231:H232"/>
    <mergeCell ref="J171:J172"/>
    <mergeCell ref="I197:I198"/>
    <mergeCell ref="J165:J166"/>
    <mergeCell ref="V73:W73"/>
    <mergeCell ref="P193:P194"/>
    <mergeCell ref="A142:E142"/>
    <mergeCell ref="W139:W140"/>
    <mergeCell ref="Y201:Y202"/>
    <mergeCell ref="K261:K262"/>
    <mergeCell ref="X295:X296"/>
    <mergeCell ref="V75:W75"/>
    <mergeCell ref="K147:K148"/>
    <mergeCell ref="U137:U138"/>
    <mergeCell ref="M211:M212"/>
    <mergeCell ref="P117:Q117"/>
    <mergeCell ref="O267:O268"/>
    <mergeCell ref="G132:G133"/>
    <mergeCell ref="D32:F32"/>
    <mergeCell ref="U139:U140"/>
    <mergeCell ref="O269:O270"/>
    <mergeCell ref="J195:J196"/>
    <mergeCell ref="O113:Q113"/>
    <mergeCell ref="S247:S248"/>
    <mergeCell ref="X137:X138"/>
    <mergeCell ref="H251:H252"/>
    <mergeCell ref="J197:J198"/>
    <mergeCell ref="L259:L260"/>
    <mergeCell ref="Q193:Q194"/>
    <mergeCell ref="A174:E174"/>
    <mergeCell ref="S249:S250"/>
    <mergeCell ref="L287:L288"/>
    <mergeCell ref="W285:W286"/>
    <mergeCell ref="L289:L290"/>
    <mergeCell ref="R257:R258"/>
    <mergeCell ref="L229:L230"/>
    <mergeCell ref="H191:H192"/>
    <mergeCell ref="T62:U62"/>
    <mergeCell ref="A137:E137"/>
    <mergeCell ref="S245:S246"/>
    <mergeCell ref="T281:T282"/>
    <mergeCell ref="S220:S221"/>
    <mergeCell ref="F291:F292"/>
    <mergeCell ref="T171:T172"/>
    <mergeCell ref="M281:M282"/>
    <mergeCell ref="H207:H208"/>
    <mergeCell ref="U243:U244"/>
    <mergeCell ref="I175:I176"/>
    <mergeCell ref="J151:J152"/>
    <mergeCell ref="L213:L214"/>
    <mergeCell ref="T173:T174"/>
    <mergeCell ref="J271:J272"/>
    <mergeCell ref="I177:I178"/>
    <mergeCell ref="A301:E301"/>
    <mergeCell ref="L215:L216"/>
    <mergeCell ref="V237:V238"/>
    <mergeCell ref="J273:J274"/>
    <mergeCell ref="F167:F168"/>
    <mergeCell ref="A303:E303"/>
    <mergeCell ref="N279:N280"/>
    <mergeCell ref="V239:V240"/>
    <mergeCell ref="V303:V304"/>
    <mergeCell ref="P175:P176"/>
    <mergeCell ref="H249:H250"/>
    <mergeCell ref="I231:I232"/>
    <mergeCell ref="I187:I188"/>
    <mergeCell ref="K287:K288"/>
    <mergeCell ref="P177:P178"/>
    <mergeCell ref="K289:K290"/>
    <mergeCell ref="G183:G184"/>
    <mergeCell ref="R241:R242"/>
    <mergeCell ref="G185:G186"/>
    <mergeCell ref="I251:I252"/>
    <mergeCell ref="A211:E211"/>
    <mergeCell ref="R116:Y116"/>
    <mergeCell ref="I193:I194"/>
    <mergeCell ref="A101:D101"/>
    <mergeCell ref="L187:L188"/>
    <mergeCell ref="S183:S184"/>
    <mergeCell ref="V62:W62"/>
    <mergeCell ref="S177:S178"/>
    <mergeCell ref="V56:W56"/>
    <mergeCell ref="S149:S150"/>
    <mergeCell ref="O103:Q103"/>
    <mergeCell ref="E106:I106"/>
    <mergeCell ref="L189:L190"/>
    <mergeCell ref="N251:N252"/>
    <mergeCell ref="M279:M280"/>
    <mergeCell ref="R119:Y119"/>
    <mergeCell ref="S185:S186"/>
    <mergeCell ref="U241:U242"/>
    <mergeCell ref="Y203:Y204"/>
    <mergeCell ref="T64:U64"/>
    <mergeCell ref="A139:E139"/>
    <mergeCell ref="X139:X140"/>
    <mergeCell ref="G149:G150"/>
    <mergeCell ref="W193:W194"/>
    <mergeCell ref="V145:V146"/>
    <mergeCell ref="Y181:Y182"/>
    <mergeCell ref="P247:P248"/>
    <mergeCell ref="Q213:Q214"/>
    <mergeCell ref="V147:V148"/>
    <mergeCell ref="X209:X210"/>
    <mergeCell ref="W237:W238"/>
    <mergeCell ref="X203:X204"/>
    <mergeCell ref="I139:I140"/>
    <mergeCell ref="A50:D50"/>
    <mergeCell ref="R132:R133"/>
    <mergeCell ref="M112:N112"/>
    <mergeCell ref="W13:X13"/>
    <mergeCell ref="H143:H144"/>
    <mergeCell ref="V163:V164"/>
    <mergeCell ref="N237:N238"/>
    <mergeCell ref="J199:J200"/>
    <mergeCell ref="Y295:Y296"/>
    <mergeCell ref="T231:T232"/>
    <mergeCell ref="N203:N204"/>
    <mergeCell ref="V165:V166"/>
    <mergeCell ref="G87:I87"/>
    <mergeCell ref="N239:N240"/>
    <mergeCell ref="P301:P302"/>
    <mergeCell ref="L263:L264"/>
    <mergeCell ref="M107:N107"/>
    <mergeCell ref="R93:U93"/>
    <mergeCell ref="P267:P268"/>
    <mergeCell ref="G95:I95"/>
    <mergeCell ref="V289:V290"/>
    <mergeCell ref="X229:X230"/>
    <mergeCell ref="V72:W72"/>
    <mergeCell ref="G89:I89"/>
    <mergeCell ref="H159:H160"/>
    <mergeCell ref="G187:G188"/>
    <mergeCell ref="G88:I88"/>
    <mergeCell ref="K195:K196"/>
    <mergeCell ref="M251:M252"/>
    <mergeCell ref="S157:S158"/>
    <mergeCell ref="R185:R186"/>
    <mergeCell ref="T247:T248"/>
    <mergeCell ref="D5:H5"/>
    <mergeCell ref="R95:U95"/>
    <mergeCell ref="Q277:Q278"/>
    <mergeCell ref="N213:N214"/>
    <mergeCell ref="A258:E258"/>
    <mergeCell ref="F281:F282"/>
    <mergeCell ref="N243:N244"/>
    <mergeCell ref="R6:T6"/>
    <mergeCell ref="A266:E266"/>
    <mergeCell ref="A260:E260"/>
    <mergeCell ref="U257:U258"/>
    <mergeCell ref="J261:J262"/>
    <mergeCell ref="W163:W164"/>
    <mergeCell ref="K199:K200"/>
    <mergeCell ref="M255:M256"/>
    <mergeCell ref="J132:J133"/>
    <mergeCell ref="V63:W63"/>
    <mergeCell ref="V197:V198"/>
    <mergeCell ref="W165:W166"/>
    <mergeCell ref="D10:Y10"/>
    <mergeCell ref="R277:R278"/>
    <mergeCell ref="L231:L232"/>
    <mergeCell ref="V87:Y87"/>
    <mergeCell ref="D12:E12"/>
    <mergeCell ref="V213:V214"/>
    <mergeCell ref="V89:Y89"/>
    <mergeCell ref="N139:N140"/>
    <mergeCell ref="H269:H270"/>
    <mergeCell ref="U113:V113"/>
    <mergeCell ref="W245:W246"/>
    <mergeCell ref="T175:T176"/>
    <mergeCell ref="L249:L250"/>
    <mergeCell ref="A205:E205"/>
    <mergeCell ref="N215:N216"/>
    <mergeCell ref="G235:G236"/>
    <mergeCell ref="P287:P288"/>
    <mergeCell ref="P281:P282"/>
    <mergeCell ref="U177:U178"/>
    <mergeCell ref="L49:N49"/>
    <mergeCell ref="P289:P290"/>
    <mergeCell ref="W145:W146"/>
    <mergeCell ref="L149:L150"/>
    <mergeCell ref="G251:G252"/>
    <mergeCell ref="N205:N206"/>
    <mergeCell ref="F279:F280"/>
    <mergeCell ref="A265:E265"/>
    <mergeCell ref="D8:K8"/>
    <mergeCell ref="N241:N242"/>
    <mergeCell ref="W147:W148"/>
    <mergeCell ref="Q283:Q284"/>
    <mergeCell ref="O285:O286"/>
    <mergeCell ref="M187:M188"/>
    <mergeCell ref="T177:T178"/>
    <mergeCell ref="Q132:Q133"/>
    <mergeCell ref="V241:V242"/>
    <mergeCell ref="K149:K150"/>
    <mergeCell ref="J83:Q83"/>
    <mergeCell ref="U171:U172"/>
    <mergeCell ref="J119:Q119"/>
    <mergeCell ref="J84:M84"/>
    <mergeCell ref="K263:K264"/>
    <mergeCell ref="K151:K152"/>
    <mergeCell ref="M213:M214"/>
    <mergeCell ref="U173:U174"/>
    <mergeCell ref="O165:O166"/>
    <mergeCell ref="X72:Y72"/>
    <mergeCell ref="U193:U194"/>
    <mergeCell ref="W249:W250"/>
    <mergeCell ref="H299:H300"/>
    <mergeCell ref="P261:P262"/>
    <mergeCell ref="O289:O290"/>
    <mergeCell ref="Q229:Q230"/>
    <mergeCell ref="R73:S73"/>
    <mergeCell ref="V181:V182"/>
    <mergeCell ref="Y279:Y280"/>
    <mergeCell ref="L157:L158"/>
    <mergeCell ref="K185:K186"/>
    <mergeCell ref="M247:M248"/>
    <mergeCell ref="G233:G234"/>
    <mergeCell ref="F259:F260"/>
    <mergeCell ref="X245:X246"/>
    <mergeCell ref="X220:X221"/>
    <mergeCell ref="N179:N180"/>
    <mergeCell ref="U175:U176"/>
    <mergeCell ref="Y275:Y276"/>
    <mergeCell ref="Y277:Y278"/>
    <mergeCell ref="W229:W230"/>
    <mergeCell ref="M205:M206"/>
    <mergeCell ref="X211:X212"/>
    <mergeCell ref="P285:P286"/>
    <mergeCell ref="M215:M216"/>
    <mergeCell ref="H141:H142"/>
    <mergeCell ref="G90:I90"/>
    <mergeCell ref="K197:K198"/>
    <mergeCell ref="M253:M254"/>
    <mergeCell ref="T249:T250"/>
    <mergeCell ref="R8:T8"/>
    <mergeCell ref="J291:J292"/>
    <mergeCell ref="C20:X20"/>
    <mergeCell ref="Q281:Q282"/>
    <mergeCell ref="L207:L208"/>
    <mergeCell ref="B67:Q67"/>
    <mergeCell ref="A262:E262"/>
    <mergeCell ref="M175:M176"/>
    <mergeCell ref="W48:X48"/>
    <mergeCell ref="G39:I39"/>
    <mergeCell ref="F187:F188"/>
    <mergeCell ref="X173:X174"/>
    <mergeCell ref="B69:Q69"/>
    <mergeCell ref="N271:N272"/>
    <mergeCell ref="M177:M178"/>
    <mergeCell ref="A166:E166"/>
    <mergeCell ref="R275:R276"/>
    <mergeCell ref="F189:F190"/>
    <mergeCell ref="N273:N274"/>
    <mergeCell ref="J167:J168"/>
    <mergeCell ref="A168:E168"/>
    <mergeCell ref="B64:Q64"/>
    <mergeCell ref="O147:O148"/>
    <mergeCell ref="O261:O262"/>
    <mergeCell ref="V257:V258"/>
    <mergeCell ref="A51:D51"/>
    <mergeCell ref="A43:C43"/>
    <mergeCell ref="A192:E192"/>
    <mergeCell ref="S267:S268"/>
    <mergeCell ref="F215:F216"/>
    <mergeCell ref="X163:X164"/>
    <mergeCell ref="K132:K133"/>
    <mergeCell ref="H301:H302"/>
    <mergeCell ref="H179:H180"/>
    <mergeCell ref="A254:E254"/>
    <mergeCell ref="R75:S75"/>
    <mergeCell ref="V93:Y93"/>
    <mergeCell ref="R211:R212"/>
    <mergeCell ref="T267:T268"/>
    <mergeCell ref="H303:H304"/>
    <mergeCell ref="T269:T270"/>
    <mergeCell ref="O195:O196"/>
    <mergeCell ref="A249:E249"/>
    <mergeCell ref="P163:P164"/>
    <mergeCell ref="V185:V186"/>
    <mergeCell ref="X247:X248"/>
    <mergeCell ref="F255:F256"/>
    <mergeCell ref="A257:E257"/>
    <mergeCell ref="O197:O198"/>
    <mergeCell ref="Q253:Q254"/>
    <mergeCell ref="X249:X250"/>
    <mergeCell ref="M149:M150"/>
    <mergeCell ref="O123:Q123"/>
    <mergeCell ref="F169:F170"/>
    <mergeCell ref="V201:V202"/>
    <mergeCell ref="W181:W182"/>
    <mergeCell ref="O213:O214"/>
    <mergeCell ref="A267:E267"/>
    <mergeCell ref="Y245:Y246"/>
    <mergeCell ref="Q279:Q280"/>
    <mergeCell ref="Y239:Y240"/>
    <mergeCell ref="G255:G256"/>
    <mergeCell ref="A269:E269"/>
    <mergeCell ref="Y139:Y140"/>
    <mergeCell ref="O151:O152"/>
    <mergeCell ref="Y173:Y174"/>
    <mergeCell ref="I287:I288"/>
    <mergeCell ref="R57:S57"/>
    <mergeCell ref="O271:O272"/>
    <mergeCell ref="A228:E228"/>
    <mergeCell ref="Q205:Q206"/>
    <mergeCell ref="T285:T286"/>
    <mergeCell ref="I289:I290"/>
    <mergeCell ref="A221:E221"/>
    <mergeCell ref="E50:H50"/>
    <mergeCell ref="R124:Y124"/>
    <mergeCell ref="J44:Y44"/>
    <mergeCell ref="A223:E223"/>
    <mergeCell ref="F273:F274"/>
    <mergeCell ref="J37:Y37"/>
    <mergeCell ref="P147:P148"/>
    <mergeCell ref="R109:Y109"/>
    <mergeCell ref="F245:F246"/>
    <mergeCell ref="R203:R204"/>
    <mergeCell ref="F239:F240"/>
    <mergeCell ref="A194:E194"/>
    <mergeCell ref="S269:S270"/>
    <mergeCell ref="N195:N196"/>
    <mergeCell ref="Q49:R49"/>
    <mergeCell ref="Y253:Y254"/>
    <mergeCell ref="O163:O164"/>
    <mergeCell ref="W220:W221"/>
    <mergeCell ref="U157:U158"/>
    <mergeCell ref="M231:M232"/>
    <mergeCell ref="N197:N198"/>
    <mergeCell ref="P259:P260"/>
    <mergeCell ref="Y243:Y244"/>
    <mergeCell ref="G167:G168"/>
    <mergeCell ref="N157:N158"/>
    <mergeCell ref="F231:F232"/>
    <mergeCell ref="G197:G198"/>
    <mergeCell ref="I259:I260"/>
    <mergeCell ref="G41:I41"/>
    <mergeCell ref="X175:X176"/>
    <mergeCell ref="A175:E175"/>
    <mergeCell ref="P249:P250"/>
    <mergeCell ref="N149:N150"/>
    <mergeCell ref="A297:E297"/>
    <mergeCell ref="B71:Q71"/>
    <mergeCell ref="T66:U66"/>
    <mergeCell ref="Q187:Q188"/>
    <mergeCell ref="I261:I262"/>
    <mergeCell ref="P215:P216"/>
    <mergeCell ref="H289:H290"/>
    <mergeCell ref="G43:I43"/>
    <mergeCell ref="X177:X178"/>
    <mergeCell ref="F191:F192"/>
    <mergeCell ref="J109:Q109"/>
    <mergeCell ref="A170:E170"/>
    <mergeCell ref="R279:R280"/>
    <mergeCell ref="K143:K144"/>
    <mergeCell ref="D86:F86"/>
    <mergeCell ref="O149:O150"/>
    <mergeCell ref="Y171:Y172"/>
    <mergeCell ref="R281:R282"/>
    <mergeCell ref="G179:G180"/>
    <mergeCell ref="R64:S64"/>
    <mergeCell ref="A226:E226"/>
    <mergeCell ref="G273:G274"/>
    <mergeCell ref="T56:U56"/>
    <mergeCell ref="Q255:Q256"/>
    <mergeCell ref="A6:C6"/>
    <mergeCell ref="A155:E155"/>
    <mergeCell ref="R107:S107"/>
    <mergeCell ref="U295:U296"/>
    <mergeCell ref="A157:E157"/>
    <mergeCell ref="K281:K282"/>
    <mergeCell ref="L5:Q5"/>
    <mergeCell ref="P187:P188"/>
    <mergeCell ref="W183:W184"/>
    <mergeCell ref="X149:X150"/>
    <mergeCell ref="P195:P196"/>
    <mergeCell ref="P189:P190"/>
    <mergeCell ref="R251:R252"/>
    <mergeCell ref="W185:W186"/>
    <mergeCell ref="R287:R288"/>
    <mergeCell ref="A5:C5"/>
    <mergeCell ref="A32:C32"/>
    <mergeCell ref="N155:N156"/>
    <mergeCell ref="L269:L270"/>
    <mergeCell ref="G195:G196"/>
    <mergeCell ref="R253:R254"/>
    <mergeCell ref="P220:P221"/>
    <mergeCell ref="N175:N176"/>
    <mergeCell ref="O263:O264"/>
    <mergeCell ref="K231:K232"/>
    <mergeCell ref="N84:Q84"/>
    <mergeCell ref="A201:E201"/>
    <mergeCell ref="M207:M208"/>
    <mergeCell ref="H161:H162"/>
    <mergeCell ref="L299:L300"/>
    <mergeCell ref="I229:I230"/>
    <mergeCell ref="A214:E214"/>
    <mergeCell ref="S289:S290"/>
    <mergeCell ref="R101:Y101"/>
    <mergeCell ref="D89:F89"/>
    <mergeCell ref="I265:I266"/>
    <mergeCell ref="R87:U87"/>
    <mergeCell ref="R100:Y100"/>
    <mergeCell ref="D88:F88"/>
    <mergeCell ref="M269:M270"/>
    <mergeCell ref="H195:H196"/>
    <mergeCell ref="O185:O186"/>
    <mergeCell ref="Q247:Q248"/>
    <mergeCell ref="R89:U89"/>
    <mergeCell ref="D90:F90"/>
    <mergeCell ref="T283:T284"/>
    <mergeCell ref="H197:H198"/>
    <mergeCell ref="J259:J260"/>
    <mergeCell ref="R179:R180"/>
    <mergeCell ref="J253:J254"/>
    <mergeCell ref="Y175:Y176"/>
    <mergeCell ref="A230:E230"/>
    <mergeCell ref="K235:K236"/>
    <mergeCell ref="A143:E143"/>
    <mergeCell ref="Y177:Y178"/>
    <mergeCell ref="A232:E232"/>
    <mergeCell ref="R113:T113"/>
    <mergeCell ref="I159:I160"/>
    <mergeCell ref="P149:P150"/>
    <mergeCell ref="R205:R206"/>
    <mergeCell ref="P263:P264"/>
    <mergeCell ref="N291:N292"/>
    <mergeCell ref="G157:G158"/>
    <mergeCell ref="T58:U58"/>
    <mergeCell ref="U281:U282"/>
    <mergeCell ref="T54:U54"/>
    <mergeCell ref="N293:N294"/>
    <mergeCell ref="J187:J188"/>
    <mergeCell ref="Q177:Q178"/>
    <mergeCell ref="A158:E158"/>
    <mergeCell ref="U185:U186"/>
    <mergeCell ref="V275:V276"/>
    <mergeCell ref="J189:J190"/>
    <mergeCell ref="S205:S206"/>
    <mergeCell ref="K279:K280"/>
    <mergeCell ref="A160:E160"/>
    <mergeCell ref="V277:V278"/>
    <mergeCell ref="F207:F208"/>
    <mergeCell ref="H151:H152"/>
    <mergeCell ref="S261:S262"/>
    <mergeCell ref="H271:H272"/>
    <mergeCell ref="P191:P192"/>
    <mergeCell ref="H265:H266"/>
    <mergeCell ref="J215:J216"/>
    <mergeCell ref="O157:O158"/>
    <mergeCell ref="R255:R256"/>
    <mergeCell ref="O132:O133"/>
    <mergeCell ref="M113:N113"/>
    <mergeCell ref="J112:K112"/>
    <mergeCell ref="M123:N123"/>
    <mergeCell ref="G199:G200"/>
    <mergeCell ref="G171:G172"/>
    <mergeCell ref="Q231:Q232"/>
    <mergeCell ref="T289:T290"/>
    <mergeCell ref="T72:U72"/>
    <mergeCell ref="A147:E147"/>
    <mergeCell ref="P183:P184"/>
    <mergeCell ref="Q149:Q150"/>
    <mergeCell ref="J169:J170"/>
    <mergeCell ref="I195:I196"/>
    <mergeCell ref="I189:I190"/>
    <mergeCell ref="K251:K252"/>
    <mergeCell ref="Q151:Q152"/>
    <mergeCell ref="S213:S214"/>
    <mergeCell ref="T57:U57"/>
    <mergeCell ref="L233:L234"/>
    <mergeCell ref="S179:S180"/>
    <mergeCell ref="U279:U280"/>
    <mergeCell ref="K253:K254"/>
    <mergeCell ref="S215:S216"/>
    <mergeCell ref="R243:R244"/>
    <mergeCell ref="A212:E212"/>
    <mergeCell ref="I263:I264"/>
    <mergeCell ref="J107:K107"/>
    <mergeCell ref="M108:N108"/>
    <mergeCell ref="P151:P152"/>
    <mergeCell ref="U277:U278"/>
    <mergeCell ref="R213:R214"/>
    <mergeCell ref="J281:J282"/>
    <mergeCell ref="Q173:Q174"/>
    <mergeCell ref="G271:G272"/>
    <mergeCell ref="R112:S112"/>
    <mergeCell ref="S201:S202"/>
    <mergeCell ref="S237:S238"/>
    <mergeCell ref="A156:E156"/>
    <mergeCell ref="W303:W304"/>
    <mergeCell ref="S265:S266"/>
    <mergeCell ref="F293:F294"/>
    <mergeCell ref="M289:M290"/>
    <mergeCell ref="M13:S13"/>
    <mergeCell ref="R197:R198"/>
    <mergeCell ref="T259:T260"/>
    <mergeCell ref="Y193:Y194"/>
    <mergeCell ref="M157:M158"/>
    <mergeCell ref="T147:T148"/>
    <mergeCell ref="V203:V204"/>
    <mergeCell ref="I151:I152"/>
    <mergeCell ref="N277:N278"/>
    <mergeCell ref="T261:T262"/>
    <mergeCell ref="A111:D111"/>
    <mergeCell ref="O215:O216"/>
    <mergeCell ref="X267:X268"/>
    <mergeCell ref="T132:T133"/>
    <mergeCell ref="F141:F142"/>
    <mergeCell ref="J143:J144"/>
    <mergeCell ref="X269:X270"/>
    <mergeCell ref="V74:W74"/>
    <mergeCell ref="S195:S196"/>
    <mergeCell ref="T163:T164"/>
    <mergeCell ref="H199:H200"/>
    <mergeCell ref="J255:J256"/>
    <mergeCell ref="M297:M298"/>
    <mergeCell ref="S197:S198"/>
    <mergeCell ref="U259:U260"/>
    <mergeCell ref="T287:T288"/>
    <mergeCell ref="U253:U254"/>
    <mergeCell ref="M299:M300"/>
    <mergeCell ref="X303:X304"/>
    <mergeCell ref="R289:R290"/>
    <mergeCell ref="A304:E304"/>
    <mergeCell ref="Y285:Y286"/>
    <mergeCell ref="G293:G294"/>
    <mergeCell ref="K271:K272"/>
    <mergeCell ref="K237:K238"/>
    <mergeCell ref="L205:L206"/>
    <mergeCell ref="K273:K274"/>
    <mergeCell ref="A177:E177"/>
    <mergeCell ref="U147:U148"/>
    <mergeCell ref="G35:I35"/>
    <mergeCell ref="W203:W204"/>
    <mergeCell ref="O277:O278"/>
    <mergeCell ref="K239:K240"/>
    <mergeCell ref="M301:M302"/>
    <mergeCell ref="K141:K142"/>
    <mergeCell ref="Y267:Y268"/>
    <mergeCell ref="I191:I192"/>
    <mergeCell ref="P122:Q122"/>
    <mergeCell ref="T195:T196"/>
    <mergeCell ref="T189:T190"/>
    <mergeCell ref="V251:V252"/>
    <mergeCell ref="I199:I200"/>
    <mergeCell ref="K255:K256"/>
    <mergeCell ref="V253:V254"/>
    <mergeCell ref="X71:Y71"/>
    <mergeCell ref="T220:T221"/>
    <mergeCell ref="K167:K168"/>
    <mergeCell ref="R157:R158"/>
    <mergeCell ref="J231:J232"/>
    <mergeCell ref="J96:M96"/>
    <mergeCell ref="P299:P300"/>
    <mergeCell ref="U189:U190"/>
    <mergeCell ref="W251:W252"/>
    <mergeCell ref="W289:W290"/>
    <mergeCell ref="G93:I93"/>
    <mergeCell ref="H122:I122"/>
    <mergeCell ref="S155:S156"/>
    <mergeCell ref="Q269:Q270"/>
    <mergeCell ref="L195:L196"/>
    <mergeCell ref="A250:E250"/>
    <mergeCell ref="V95:Y95"/>
    <mergeCell ref="U247:U248"/>
    <mergeCell ref="V64:W64"/>
    <mergeCell ref="X283:X284"/>
    <mergeCell ref="F297:F298"/>
    <mergeCell ref="L197:L198"/>
    <mergeCell ref="N259:N260"/>
    <mergeCell ref="U213:U214"/>
    <mergeCell ref="M287:M288"/>
    <mergeCell ref="N253:N254"/>
    <mergeCell ref="X285:X286"/>
    <mergeCell ref="U215:U216"/>
    <mergeCell ref="P141:P142"/>
    <mergeCell ref="J149:J150"/>
    <mergeCell ref="U112:V112"/>
    <mergeCell ref="A278:E278"/>
    <mergeCell ref="P143:P144"/>
    <mergeCell ref="W279:W280"/>
    <mergeCell ref="M159:M160"/>
    <mergeCell ref="L179:L180"/>
    <mergeCell ref="R207:R208"/>
    <mergeCell ref="T263:T264"/>
    <mergeCell ref="R4:T4"/>
    <mergeCell ref="F225:F226"/>
    <mergeCell ref="R293:R294"/>
    <mergeCell ref="X56:Y56"/>
    <mergeCell ref="N153:N154"/>
    <mergeCell ref="F227:F228"/>
    <mergeCell ref="G37:I37"/>
    <mergeCell ref="N189:N190"/>
    <mergeCell ref="W205:W206"/>
    <mergeCell ref="O279:O280"/>
    <mergeCell ref="R63:S63"/>
    <mergeCell ref="S287:S288"/>
    <mergeCell ref="H291:H292"/>
    <mergeCell ref="X57:Y57"/>
    <mergeCell ref="V171:V172"/>
    <mergeCell ref="O281:O282"/>
    <mergeCell ref="J207:J208"/>
    <mergeCell ref="L151:L152"/>
    <mergeCell ref="V173:V174"/>
    <mergeCell ref="W261:W262"/>
    <mergeCell ref="L271:L272"/>
    <mergeCell ref="L265:L266"/>
    <mergeCell ref="J104:Q104"/>
    <mergeCell ref="M259:M260"/>
    <mergeCell ref="X75:Y75"/>
    <mergeCell ref="U231:U232"/>
    <mergeCell ref="U187:U188"/>
    <mergeCell ref="M261:M262"/>
    <mergeCell ref="J94:M94"/>
    <mergeCell ref="P231:P232"/>
    <mergeCell ref="G291:G292"/>
    <mergeCell ref="C21:X21"/>
    <mergeCell ref="F301:F302"/>
    <mergeCell ref="F295:F296"/>
    <mergeCell ref="N263:N264"/>
    <mergeCell ref="H113:I113"/>
    <mergeCell ref="A281:E281"/>
    <mergeCell ref="A287:E287"/>
    <mergeCell ref="G267:G268"/>
    <mergeCell ref="Q299:Q300"/>
    <mergeCell ref="F303:F304"/>
    <mergeCell ref="X289:X290"/>
    <mergeCell ref="D13:E13"/>
    <mergeCell ref="T183:T184"/>
    <mergeCell ref="A193:E193"/>
    <mergeCell ref="N169:N170"/>
    <mergeCell ref="R269:R270"/>
    <mergeCell ref="A282:E282"/>
    <mergeCell ref="M195:M196"/>
    <mergeCell ref="H108:I108"/>
    <mergeCell ref="M189:M190"/>
    <mergeCell ref="O251:O252"/>
    <mergeCell ref="P233:P234"/>
    <mergeCell ref="M197:M198"/>
    <mergeCell ref="W179:W180"/>
    <mergeCell ref="O253:O254"/>
    <mergeCell ref="H273:H274"/>
    <mergeCell ref="V243:V244"/>
    <mergeCell ref="K157:K158"/>
    <mergeCell ref="A184:E184"/>
    <mergeCell ref="G42:I42"/>
    <mergeCell ref="X54:Y54"/>
    <mergeCell ref="J86:M86"/>
    <mergeCell ref="A239:E239"/>
    <mergeCell ref="Y229:Y230"/>
    <mergeCell ref="T155:T156"/>
    <mergeCell ref="G281:G282"/>
    <mergeCell ref="M265:M266"/>
    <mergeCell ref="U191:U192"/>
    <mergeCell ref="A140:E140"/>
    <mergeCell ref="J141:J142"/>
    <mergeCell ref="T157:T158"/>
    <mergeCell ref="L199:L200"/>
    <mergeCell ref="R108:T108"/>
    <mergeCell ref="A279:E279"/>
    <mergeCell ref="N255:N256"/>
    <mergeCell ref="O235:O236"/>
    <mergeCell ref="Q297:Q298"/>
    <mergeCell ref="V231:V232"/>
    <mergeCell ref="X287:X288"/>
    <mergeCell ref="X165:X166"/>
    <mergeCell ref="N287:N288"/>
    <mergeCell ref="N281:N282"/>
    <mergeCell ref="R149:R150"/>
    <mergeCell ref="R271:R272"/>
    <mergeCell ref="T205:T206"/>
    <mergeCell ref="K169:K170"/>
    <mergeCell ref="J191:J192"/>
    <mergeCell ref="M227:M228"/>
    <mergeCell ref="O143:O144"/>
    <mergeCell ref="V279:V280"/>
    <mergeCell ref="U245:U246"/>
    <mergeCell ref="V281:V282"/>
    <mergeCell ref="K179:K180"/>
    <mergeCell ref="Q207:Q208"/>
    <mergeCell ref="R175:R176"/>
    <mergeCell ref="A241:E241"/>
    <mergeCell ref="I141:I142"/>
    <mergeCell ref="S132:S133"/>
    <mergeCell ref="D6:H6"/>
    <mergeCell ref="A268:E268"/>
    <mergeCell ref="A243:E243"/>
    <mergeCell ref="I143:I144"/>
    <mergeCell ref="F159:F160"/>
    <mergeCell ref="A145:E145"/>
    <mergeCell ref="F153:F154"/>
    <mergeCell ref="X259:X260"/>
    <mergeCell ref="K207:K208"/>
    <mergeCell ref="Q157:Q158"/>
    <mergeCell ref="M263:M264"/>
    <mergeCell ref="F161:F162"/>
    <mergeCell ref="Q271:Q272"/>
    <mergeCell ref="M151:M152"/>
    <mergeCell ref="X261:X262"/>
    <mergeCell ref="H16:N17"/>
    <mergeCell ref="X66:Y66"/>
    <mergeCell ref="A103:G103"/>
    <mergeCell ref="S263:S264"/>
    <mergeCell ref="R84:U84"/>
    <mergeCell ref="A247:E247"/>
    <mergeCell ref="L161:L162"/>
    <mergeCell ref="X117:Y117"/>
    <mergeCell ref="A34:C34"/>
    <mergeCell ref="L7:Q7"/>
    <mergeCell ref="W155:W156"/>
    <mergeCell ref="Y247:Y248"/>
    <mergeCell ref="Y241:Y242"/>
    <mergeCell ref="Y249:Y250"/>
    <mergeCell ref="I5:K5"/>
    <mergeCell ref="R74:S74"/>
    <mergeCell ref="Y287:Y288"/>
    <mergeCell ref="P107:Q107"/>
    <mergeCell ref="O167:O168"/>
    <mergeCell ref="J88:M88"/>
    <mergeCell ref="I297:I298"/>
    <mergeCell ref="N231:N232"/>
    <mergeCell ref="R76:S76"/>
    <mergeCell ref="N96:Q96"/>
    <mergeCell ref="N187:N188"/>
    <mergeCell ref="A213:E213"/>
    <mergeCell ref="V149:V150"/>
    <mergeCell ref="V271:V272"/>
    <mergeCell ref="X205:X206"/>
    <mergeCell ref="O169:O170"/>
    <mergeCell ref="I299:I300"/>
    <mergeCell ref="F229:F230"/>
    <mergeCell ref="A215:E215"/>
    <mergeCell ref="P251:P252"/>
    <mergeCell ref="W241:W242"/>
    <mergeCell ref="R77:S77"/>
    <mergeCell ref="Q227:Q228"/>
    <mergeCell ref="A88:C88"/>
    <mergeCell ref="X179:X180"/>
    <mergeCell ref="A90:C90"/>
    <mergeCell ref="M245:M246"/>
    <mergeCell ref="H103:I103"/>
    <mergeCell ref="O179:O180"/>
    <mergeCell ref="G253:G254"/>
    <mergeCell ref="V175:V176"/>
    <mergeCell ref="Y211:Y212"/>
    <mergeCell ref="H253:H254"/>
    <mergeCell ref="I235:I236"/>
    <mergeCell ref="K291:K292"/>
    <mergeCell ref="B72:Q72"/>
    <mergeCell ref="T159:T160"/>
    <mergeCell ref="K293:K294"/>
    <mergeCell ref="W195:W196"/>
    <mergeCell ref="G153:G154"/>
    <mergeCell ref="A200:E200"/>
    <mergeCell ref="W197:W198"/>
    <mergeCell ref="Y259:Y260"/>
    <mergeCell ref="P205:P206"/>
    <mergeCell ref="R151:R152"/>
    <mergeCell ref="T213:T214"/>
    <mergeCell ref="Y147:Y148"/>
    <mergeCell ref="A202:E202"/>
    <mergeCell ref="S277:S278"/>
    <mergeCell ref="Y261:Y262"/>
    <mergeCell ref="U155:U156"/>
    <mergeCell ref="T215:T216"/>
    <mergeCell ref="O141:O142"/>
    <mergeCell ref="W123:Y123"/>
    <mergeCell ref="Y132:Y133"/>
    <mergeCell ref="F201:F202"/>
    <mergeCell ref="M191:M192"/>
    <mergeCell ref="A197:E197"/>
    <mergeCell ref="X195:X196"/>
    <mergeCell ref="X189:X190"/>
    <mergeCell ref="M199:M200"/>
    <mergeCell ref="O255:O256"/>
    <mergeCell ref="Q285:Q286"/>
    <mergeCell ref="O187:O188"/>
    <mergeCell ref="I301:I302"/>
    <mergeCell ref="Q261:Q262"/>
    <mergeCell ref="Y187:Y188"/>
    <mergeCell ref="G201:G202"/>
    <mergeCell ref="N191:N192"/>
    <mergeCell ref="N94:Q94"/>
    <mergeCell ref="U122:V122"/>
    <mergeCell ref="A136:E136"/>
    <mergeCell ref="R199:R200"/>
    <mergeCell ref="Y189:Y190"/>
    <mergeCell ref="I303:I304"/>
    <mergeCell ref="P255:P256"/>
    <mergeCell ref="V205:V206"/>
    <mergeCell ref="G143:G144"/>
    <mergeCell ref="H233:H234"/>
    <mergeCell ref="T48:V48"/>
    <mergeCell ref="G83:I84"/>
    <mergeCell ref="V84:Y84"/>
    <mergeCell ref="P167:P168"/>
    <mergeCell ref="I207:I208"/>
    <mergeCell ref="H235:H236"/>
    <mergeCell ref="W157:W158"/>
    <mergeCell ref="J297:J298"/>
    <mergeCell ref="Y213:Y214"/>
    <mergeCell ref="Q287:Q288"/>
    <mergeCell ref="H107:I107"/>
    <mergeCell ref="Y205:Y206"/>
    <mergeCell ref="R225:R226"/>
    <mergeCell ref="J299:J300"/>
    <mergeCell ref="J293:J294"/>
    <mergeCell ref="Y215:Y216"/>
    <mergeCell ref="Q289:Q290"/>
    <mergeCell ref="S279:S280"/>
    <mergeCell ref="Y263:Y264"/>
    <mergeCell ref="W287:W288"/>
    <mergeCell ref="L291:L292"/>
    <mergeCell ref="A231:E231"/>
    <mergeCell ref="G211:G212"/>
    <mergeCell ref="S281:S282"/>
    <mergeCell ref="N207:N208"/>
    <mergeCell ref="O145:O146"/>
    <mergeCell ref="N173:N174"/>
    <mergeCell ref="O50:R50"/>
    <mergeCell ref="I275:I276"/>
    <mergeCell ref="P271:P272"/>
    <mergeCell ref="P265:P266"/>
    <mergeCell ref="L48:S48"/>
    <mergeCell ref="A37:C37"/>
    <mergeCell ref="P273:P274"/>
    <mergeCell ref="T277:T278"/>
    <mergeCell ref="Q259:Q260"/>
    <mergeCell ref="F263:F264"/>
    <mergeCell ref="G239:G240"/>
    <mergeCell ref="A276:E276"/>
    <mergeCell ref="A270:E270"/>
    <mergeCell ref="G169:G170"/>
    <mergeCell ref="R227:R228"/>
    <mergeCell ref="X181:X182"/>
    <mergeCell ref="H102:I102"/>
    <mergeCell ref="Q159:Q160"/>
    <mergeCell ref="I233:I234"/>
    <mergeCell ref="I227:I228"/>
    <mergeCell ref="T68:U68"/>
    <mergeCell ref="P179:P180"/>
    <mergeCell ref="L6:Q6"/>
    <mergeCell ref="H237:H238"/>
    <mergeCell ref="P197:P198"/>
    <mergeCell ref="R259:R260"/>
    <mergeCell ref="G44:I44"/>
    <mergeCell ref="S235:S236"/>
    <mergeCell ref="D35:F35"/>
    <mergeCell ref="U297:U298"/>
    <mergeCell ref="H239:H240"/>
    <mergeCell ref="J301:J302"/>
    <mergeCell ref="R261:R262"/>
    <mergeCell ref="D34:F34"/>
    <mergeCell ref="J114:Q114"/>
    <mergeCell ref="U299:U300"/>
    <mergeCell ref="J303:J304"/>
    <mergeCell ref="X183:X184"/>
    <mergeCell ref="D36:F36"/>
    <mergeCell ref="B73:Q73"/>
    <mergeCell ref="M122:N122"/>
    <mergeCell ref="V269:V270"/>
    <mergeCell ref="Q195:Q196"/>
    <mergeCell ref="A176:E176"/>
    <mergeCell ref="S251:S252"/>
    <mergeCell ref="Q189:Q190"/>
    <mergeCell ref="J32:Y32"/>
    <mergeCell ref="C24:X25"/>
    <mergeCell ref="H255:H256"/>
    <mergeCell ref="J111:Q111"/>
    <mergeCell ref="Q197:Q198"/>
    <mergeCell ref="A178:E178"/>
    <mergeCell ref="S253:S254"/>
    <mergeCell ref="B74:Q74"/>
    <mergeCell ref="H209:H210"/>
    <mergeCell ref="T279:T280"/>
    <mergeCell ref="U123:V123"/>
    <mergeCell ref="M143:M144"/>
    <mergeCell ref="A289:E289"/>
    <mergeCell ref="X281:X282"/>
    <mergeCell ref="J153:J154"/>
    <mergeCell ref="V61:W61"/>
    <mergeCell ref="I179:I180"/>
    <mergeCell ref="O207:O208"/>
    <mergeCell ref="Q263:Q264"/>
    <mergeCell ref="E111:I111"/>
    <mergeCell ref="J161:J162"/>
    <mergeCell ref="U271:U272"/>
    <mergeCell ref="R201:R202"/>
    <mergeCell ref="J275:J276"/>
    <mergeCell ref="X155:X156"/>
    <mergeCell ref="Q265:Q266"/>
    <mergeCell ref="X157:X158"/>
    <mergeCell ref="F181:F182"/>
    <mergeCell ref="B68:Q68"/>
    <mergeCell ref="L273:L274"/>
    <mergeCell ref="H167:H168"/>
    <mergeCell ref="U141:U142"/>
    <mergeCell ref="B76:Q76"/>
    <mergeCell ref="N86:Q86"/>
    <mergeCell ref="H169:H170"/>
    <mergeCell ref="J225:J226"/>
    <mergeCell ref="R65:S65"/>
    <mergeCell ref="W199:W200"/>
    <mergeCell ref="O273:O274"/>
    <mergeCell ref="J227:J228"/>
    <mergeCell ref="N88:Q88"/>
    <mergeCell ref="V293:V294"/>
    <mergeCell ref="R231:R232"/>
    <mergeCell ref="V76:W76"/>
    <mergeCell ref="R96:U96"/>
    <mergeCell ref="R187:R188"/>
    <mergeCell ref="G191:G192"/>
    <mergeCell ref="S169:S170"/>
    <mergeCell ref="G92:I92"/>
    <mergeCell ref="D91:F91"/>
    <mergeCell ref="R59:S59"/>
    <mergeCell ref="R189:R190"/>
    <mergeCell ref="T251:T252"/>
    <mergeCell ref="G220:G221"/>
    <mergeCell ref="D93:F93"/>
    <mergeCell ref="V77:W77"/>
    <mergeCell ref="U227:U228"/>
    <mergeCell ref="T253:T254"/>
    <mergeCell ref="A233:E233"/>
    <mergeCell ref="I167:I168"/>
    <mergeCell ref="I161:I162"/>
    <mergeCell ref="W291:W292"/>
    <mergeCell ref="P157:P158"/>
    <mergeCell ref="A235:E235"/>
    <mergeCell ref="K225:K226"/>
    <mergeCell ref="L191:L192"/>
    <mergeCell ref="U285:U286"/>
    <mergeCell ref="R121:Y121"/>
    <mergeCell ref="V66:W66"/>
    <mergeCell ref="S187:S188"/>
    <mergeCell ref="R215:R216"/>
    <mergeCell ref="W132:W133"/>
    <mergeCell ref="L8:Q8"/>
    <mergeCell ref="P199:P200"/>
    <mergeCell ref="Y281:Y282"/>
    <mergeCell ref="T207:T208"/>
    <mergeCell ref="K153:K154"/>
    <mergeCell ref="D37:F37"/>
    <mergeCell ref="R263:R264"/>
    <mergeCell ref="J118:L118"/>
    <mergeCell ref="V151:V152"/>
    <mergeCell ref="X213:X214"/>
    <mergeCell ref="W277:W278"/>
    <mergeCell ref="G207:G208"/>
    <mergeCell ref="Y155:Y156"/>
    <mergeCell ref="R265:R266"/>
    <mergeCell ref="X215:X216"/>
    <mergeCell ref="S141:S142"/>
    <mergeCell ref="A179:E179"/>
    <mergeCell ref="H145:H146"/>
    <mergeCell ref="H139:H140"/>
    <mergeCell ref="J201:J202"/>
    <mergeCell ref="T70:U70"/>
    <mergeCell ref="J34:Y34"/>
    <mergeCell ref="S143:S144"/>
    <mergeCell ref="X122:Y122"/>
    <mergeCell ref="T233:T234"/>
    <mergeCell ref="S139:S140"/>
    <mergeCell ref="J203:J204"/>
    <mergeCell ref="W108:Y108"/>
    <mergeCell ref="S255:S256"/>
    <mergeCell ref="J36:Y36"/>
    <mergeCell ref="T235:T236"/>
    <mergeCell ref="S167:S168"/>
    <mergeCell ref="W308:Y308"/>
    <mergeCell ref="O293:O294"/>
    <mergeCell ref="G155:G156"/>
    <mergeCell ref="K187:K188"/>
    <mergeCell ref="R86:U86"/>
    <mergeCell ref="L169:L170"/>
    <mergeCell ref="N225:N226"/>
    <mergeCell ref="F299:F300"/>
    <mergeCell ref="V65:W65"/>
    <mergeCell ref="K189:K190"/>
    <mergeCell ref="S273:S274"/>
    <mergeCell ref="G237:G238"/>
    <mergeCell ref="F265:F266"/>
    <mergeCell ref="N227:N228"/>
    <mergeCell ref="U179:U180"/>
    <mergeCell ref="P291:P292"/>
    <mergeCell ref="A252:E252"/>
    <mergeCell ref="Y159:Y160"/>
    <mergeCell ref="W149:W150"/>
    <mergeCell ref="L153:L154"/>
    <mergeCell ref="U205:U206"/>
    <mergeCell ref="W151:W152"/>
    <mergeCell ref="X277:X278"/>
    <mergeCell ref="I137:I138"/>
    <mergeCell ref="J263:J264"/>
    <mergeCell ref="K201:K202"/>
    <mergeCell ref="U261:U262"/>
    <mergeCell ref="R191:R192"/>
    <mergeCell ref="V199:V200"/>
    <mergeCell ref="K203:K204"/>
    <mergeCell ref="T255:T256"/>
    <mergeCell ref="I163:I164"/>
    <mergeCell ref="I4:K4"/>
    <mergeCell ref="L143:L144"/>
    <mergeCell ref="U159:U160"/>
    <mergeCell ref="A198:E198"/>
    <mergeCell ref="M233:M234"/>
    <mergeCell ref="N199:N200"/>
    <mergeCell ref="X74:Y74"/>
    <mergeCell ref="U195:U196"/>
    <mergeCell ref="X68:Y68"/>
    <mergeCell ref="A44:C44"/>
    <mergeCell ref="L255:L256"/>
    <mergeCell ref="X231:X232"/>
    <mergeCell ref="U161:U162"/>
    <mergeCell ref="M235:M236"/>
    <mergeCell ref="O297:O298"/>
    <mergeCell ref="O291:O292"/>
    <mergeCell ref="X76:Y76"/>
    <mergeCell ref="U197:U198"/>
    <mergeCell ref="V287:V288"/>
    <mergeCell ref="L167:L168"/>
    <mergeCell ref="X69:Y69"/>
    <mergeCell ref="D7:H7"/>
    <mergeCell ref="T65:U65"/>
    <mergeCell ref="T167:T168"/>
    <mergeCell ref="L235:L236"/>
    <mergeCell ref="N297:N298"/>
    <mergeCell ref="S231:S232"/>
    <mergeCell ref="I165:I166"/>
    <mergeCell ref="V225:V226"/>
    <mergeCell ref="K229:K230"/>
    <mergeCell ref="U289:U290"/>
    <mergeCell ref="K12:L12"/>
    <mergeCell ref="M303:M304"/>
    <mergeCell ref="U265:U266"/>
    <mergeCell ref="G36:I36"/>
    <mergeCell ref="Y273:Y274"/>
    <mergeCell ref="Y269:Y270"/>
    <mergeCell ref="T67:U67"/>
    <mergeCell ref="L237:L238"/>
    <mergeCell ref="T197:T198"/>
    <mergeCell ref="V259:V260"/>
    <mergeCell ref="W235:W236"/>
    <mergeCell ref="V261:V262"/>
    <mergeCell ref="S191:S192"/>
    <mergeCell ref="Q215:Q216"/>
    <mergeCell ref="L141:L142"/>
    <mergeCell ref="A196:E196"/>
    <mergeCell ref="Y299:Y300"/>
    <mergeCell ref="V132:V133"/>
    <mergeCell ref="A48:D48"/>
    <mergeCell ref="O299:O300"/>
    <mergeCell ref="N299:N300"/>
    <mergeCell ref="V227:V228"/>
    <mergeCell ref="K283:K284"/>
    <mergeCell ref="L251:L252"/>
    <mergeCell ref="V283:V284"/>
    <mergeCell ref="M103:N103"/>
    <mergeCell ref="T179:T180"/>
    <mergeCell ref="L253:L254"/>
    <mergeCell ref="V285:V286"/>
    <mergeCell ref="G145:G146"/>
    <mergeCell ref="N141:N142"/>
    <mergeCell ref="T303:T304"/>
    <mergeCell ref="X159:X160"/>
    <mergeCell ref="M167:M168"/>
    <mergeCell ref="M161:M162"/>
    <mergeCell ref="G297:G298"/>
    <mergeCell ref="T271:T272"/>
    <mergeCell ref="F173:F174"/>
    <mergeCell ref="M169:M170"/>
    <mergeCell ref="A121:D121"/>
    <mergeCell ref="O225:O226"/>
    <mergeCell ref="G299:G300"/>
    <mergeCell ref="H118:I118"/>
    <mergeCell ref="V215:V216"/>
    <mergeCell ref="T273:T274"/>
    <mergeCell ref="W153:W154"/>
    <mergeCell ref="O227:O228"/>
    <mergeCell ref="L209:L210"/>
    <mergeCell ref="Q143:Q144"/>
    <mergeCell ref="X279:X280"/>
    <mergeCell ref="J295:J296"/>
    <mergeCell ref="K245:K246"/>
    <mergeCell ref="A272:E272"/>
    <mergeCell ref="L211:L212"/>
    <mergeCell ref="M179:M180"/>
    <mergeCell ref="U263:U264"/>
    <mergeCell ref="A185:E185"/>
    <mergeCell ref="W211:W212"/>
    <mergeCell ref="N275:N276"/>
    <mergeCell ref="I209:I210"/>
    <mergeCell ref="N143:N144"/>
    <mergeCell ref="V297:V298"/>
    <mergeCell ref="K295:K296"/>
    <mergeCell ref="S153:S154"/>
    <mergeCell ref="K227:K228"/>
  </mergeCells>
  <conditionalFormatting sqref="D12:E13">
    <cfRule type="containsText" dxfId="25" priority="41" operator="containsText" text="No">
      <formula>NOT(ISERROR(SEARCH("No",D12)))</formula>
    </cfRule>
  </conditionalFormatting>
  <conditionalFormatting sqref="E80:G81">
    <cfRule type="containsText" dxfId="24" priority="33" operator="containsText" text="&gt;50%">
      <formula>NOT(ISERROR(SEARCH("&gt;50%",E80)))</formula>
    </cfRule>
    <cfRule type="containsText" dxfId="23" priority="34" operator="containsText" text="&lt;/=50%">
      <formula>NOT(ISERROR(SEARCH("&lt;/=50%",E80)))</formula>
    </cfRule>
  </conditionalFormatting>
  <conditionalFormatting sqref="E2:M2">
    <cfRule type="expression" dxfId="22" priority="14">
      <formula>ISNUMBER(SEARCH("hold",$H$16))=TRUE</formula>
    </cfRule>
    <cfRule type="expression" dxfId="21" priority="15">
      <formula>ISNUMBER(SEARCH("reject",$H$16))=TRUE</formula>
    </cfRule>
    <cfRule type="expression" dxfId="20" priority="16">
      <formula>ISNUMBER(SEARCH("accept",$H$16))=TRUE</formula>
    </cfRule>
  </conditionalFormatting>
  <conditionalFormatting sqref="F104:I104">
    <cfRule type="containsText" dxfId="19" priority="32" operator="containsText" text="NG">
      <formula>NOT(ISERROR(SEARCH("NG",F104)))</formula>
    </cfRule>
  </conditionalFormatting>
  <conditionalFormatting sqref="F109:I109">
    <cfRule type="containsText" dxfId="18" priority="26" operator="containsText" text="NG">
      <formula>NOT(ISERROR(SEARCH("NG",F109)))</formula>
    </cfRule>
  </conditionalFormatting>
  <conditionalFormatting sqref="F114:I114">
    <cfRule type="containsText" dxfId="17" priority="25" operator="containsText" text="NG">
      <formula>NOT(ISERROR(SEARCH("NG",F114)))</formula>
    </cfRule>
  </conditionalFormatting>
  <conditionalFormatting sqref="F119:I119">
    <cfRule type="containsText" dxfId="16" priority="24" operator="containsText" text="NG">
      <formula>NOT(ISERROR(SEARCH("NG",F119)))</formula>
    </cfRule>
  </conditionalFormatting>
  <conditionalFormatting sqref="F124:I124">
    <cfRule type="containsText" dxfId="15" priority="23" operator="containsText" text="NG">
      <formula>NOT(ISERROR(SEARCH("NG",F124)))</formula>
    </cfRule>
  </conditionalFormatting>
  <conditionalFormatting sqref="F137:Y138">
    <cfRule type="cellIs" dxfId="14" priority="8" operator="notBetween">
      <formula>25.56</formula>
      <formula>26.06</formula>
    </cfRule>
  </conditionalFormatting>
  <conditionalFormatting sqref="F139:Y140">
    <cfRule type="cellIs" dxfId="13" priority="7" operator="notBetween">
      <formula>25.38</formula>
      <formula>25.98</formula>
    </cfRule>
  </conditionalFormatting>
  <conditionalFormatting sqref="F141:Y142">
    <cfRule type="cellIs" dxfId="12" priority="3" operator="notBetween">
      <formula>12.65</formula>
      <formula>12.95</formula>
    </cfRule>
  </conditionalFormatting>
  <conditionalFormatting sqref="F143:Y144">
    <cfRule type="cellIs" dxfId="11" priority="2" operator="notBetween">
      <formula>10.95</formula>
      <formula>11.25</formula>
    </cfRule>
  </conditionalFormatting>
  <conditionalFormatting sqref="F145:Y146">
    <cfRule type="cellIs" dxfId="10" priority="9" operator="notBetween">
      <formula>20.7</formula>
      <formula>21.3</formula>
    </cfRule>
  </conditionalFormatting>
  <conditionalFormatting sqref="F147:Y148">
    <cfRule type="cellIs" dxfId="9" priority="6" operator="notBetween">
      <formula>128.45</formula>
      <formula>130.85</formula>
    </cfRule>
  </conditionalFormatting>
  <conditionalFormatting sqref="F229:Y232">
    <cfRule type="cellIs" dxfId="8" priority="1" operator="notBetween">
      <formula>0.8</formula>
      <formula>6</formula>
    </cfRule>
  </conditionalFormatting>
  <conditionalFormatting sqref="F243:Y244">
    <cfRule type="cellIs" dxfId="7" priority="5" operator="notBetween">
      <formula>12.5</formula>
      <formula>14.5</formula>
    </cfRule>
  </conditionalFormatting>
  <conditionalFormatting sqref="G34:I44">
    <cfRule type="containsText" dxfId="6" priority="27" operator="containsText" text="not conform">
      <formula>NOT(ISERROR(SEARCH("not conform",G34)))</formula>
    </cfRule>
  </conditionalFormatting>
  <conditionalFormatting sqref="H16">
    <cfRule type="containsText" dxfId="5" priority="35" operator="containsText" text="hold">
      <formula>NOT(ISERROR(SEARCH("hold",H16)))</formula>
    </cfRule>
    <cfRule type="containsText" dxfId="4" priority="36" operator="containsText" text="reject">
      <formula>NOT(ISERROR(SEARCH("reject",H16)))</formula>
    </cfRule>
    <cfRule type="containsText" dxfId="3" priority="37" operator="containsText" text="Accept">
      <formula>NOT(ISERROR(SEARCH("Accept",H16)))</formula>
    </cfRule>
  </conditionalFormatting>
  <conditionalFormatting sqref="J96:M96">
    <cfRule type="expression" dxfId="2" priority="13">
      <formula>$J$96&gt;$U$7</formula>
    </cfRule>
  </conditionalFormatting>
  <conditionalFormatting sqref="K12:L13">
    <cfRule type="containsText" dxfId="1" priority="40" operator="containsText" text="No">
      <formula>NOT(ISERROR(SEARCH("No",K12)))</formula>
    </cfRule>
  </conditionalFormatting>
  <conditionalFormatting sqref="V17:X17">
    <cfRule type="containsText" dxfId="0" priority="49" operator="containsText" text="Yes">
      <formula>NOT(ISERROR(SEARCH("Yes",V17)))</formula>
    </cfRule>
  </conditionalFormatting>
  <dataValidations count="18">
    <dataValidation type="list" allowBlank="1" showInputMessage="1" showErrorMessage="1" prompt="Select" sqref="V17" xr:uid="{00000000-0002-0000-0000-000000000000}">
      <formula1>"Yes, No"</formula1>
    </dataValidation>
    <dataValidation type="list" allowBlank="1" showInputMessage="1" showErrorMessage="1" prompt="Select" sqref="E81:G81" xr:uid="{00000000-0002-0000-0000-000001000000}">
      <formula1>"100%, &gt;50%, &lt;/=50%"</formula1>
    </dataValidation>
    <dataValidation allowBlank="1" showInputMessage="1" showErrorMessage="1" prompt="Length" sqref="J102:K102 J107:K107 J112:K112 J117:K117 J122:K122 R102:S102 R107:S107 R112:S112 R117:S117 R122:S122" xr:uid="{00000000-0002-0000-0000-000002000000}"/>
    <dataValidation allowBlank="1" showInputMessage="1" showErrorMessage="1" prompt="Width" sqref="M102:N102 M107:N107 M112:N112 M117:N117 M122:N122 U102:V102 U107:V107 U112:V112 U117:V117 U122:V122" xr:uid="{00000000-0002-0000-0000-000003000000}"/>
    <dataValidation allowBlank="1" showInputMessage="1" showErrorMessage="1" prompt="Height" sqref="P102:Q102 P107:Q107 P112:Q112 P117:Q117 P122:Q122 X102:Y102 X107:Y107 X112:Y112 X117:Y117 X122:Y122" xr:uid="{00000000-0002-0000-0000-000004000000}"/>
    <dataValidation allowBlank="1" showInputMessage="1" showErrorMessage="1" prompt="Gross weight" sqref="J103:L103 J108:L108 J113:L113 J118:L118 J123:L123 R103:T103 R108:T108 R113:T113 R118:T118 R123:T123" xr:uid="{00000000-0002-0000-0000-000005000000}"/>
    <dataValidation allowBlank="1" showInputMessage="1" showErrorMessage="1" prompt="Net weight" sqref="O103:Q103 O108:Q108 O113:Q113 O118:Q118 O123:Q123 W103:Y103 W108:Y108 W113:Y113 W118:Y118 W123:Y123" xr:uid="{00000000-0002-0000-0000-000006000000}"/>
    <dataValidation type="list" allowBlank="1" showInputMessage="1" showErrorMessage="1" prompt="Select" sqref="H104 H109 H114 H119 H124" xr:uid="{00000000-0002-0000-0000-000007000000}">
      <formula1>"OK, NG, N/A"</formula1>
    </dataValidation>
    <dataValidation allowBlank="1" showInputMessage="1" showErrorMessage="1" prompt="Write down the component's name if applicable" sqref="E101:I101 E106:I106 E111:I111 E116:I116 E121:I121" xr:uid="{00000000-0002-0000-0000-000008000000}"/>
    <dataValidation allowBlank="1" showInputMessage="1" showErrorMessage="1" prompt="Barcode number" sqref="J104:Y104 J109:Y109 J114:Y114 J119:Y119 J124:Y124" xr:uid="{00000000-0002-0000-0000-000009000000}"/>
    <dataValidation type="list" allowBlank="1" showInputMessage="1" showErrorMessage="1" prompt="Select" sqref="G34:I44" xr:uid="{00000000-0002-0000-0000-00000A000000}">
      <formula1>"Conformed, Not conform, N/A"</formula1>
    </dataValidation>
    <dataValidation type="list" allowBlank="1" showInputMessage="1" showErrorMessage="1" prompt="Please select" sqref="D5:H5" xr:uid="{00000000-0002-0000-0000-00000B000000}">
      <formula1>"CA, CN, FR, HK, NJ, UK,KR,HCT Packaging, HCT Asia,"</formula1>
    </dataValidation>
    <dataValidation allowBlank="1" showInputMessage="1" showErrorMessage="1" prompt="e.g. input_x000a_&quot;10-15&quot; =&gt;_x000a_15-Oct-2017" sqref="L7:Q7" xr:uid="{00000000-0002-0000-0000-00000C000000}"/>
    <dataValidation type="whole" operator="greaterThanOrEqual" allowBlank="1" showInputMessage="1" showErrorMessage="1" prompt="Number only" sqref="G86:Q95" xr:uid="{00000000-0002-0000-0000-00000D000000}">
      <formula1>0</formula1>
    </dataValidation>
    <dataValidation type="list" allowBlank="1" showInputMessage="1" showErrorMessage="1" prompt="Select" sqref="H16:N17" xr:uid="{00000000-0002-0000-0000-00000E000000}">
      <formula1>"Accept, Reject, Hold, Pending"</formula1>
    </dataValidation>
    <dataValidation type="list" allowBlank="1" showInputMessage="1" showErrorMessage="1" prompt="Select" sqref="D12:E12" xr:uid="{00000000-0002-0000-0000-00000F000000}">
      <formula1>"Yes, No, N/A"</formula1>
    </dataValidation>
    <dataValidation type="list" allowBlank="1" showInputMessage="1" showErrorMessage="1" prompt="Select" sqref="D13:E13 K12:L13" xr:uid="{00000000-0002-0000-0000-000010000000}">
      <formula1>"Yes, No,N/A"</formula1>
    </dataValidation>
    <dataValidation type="list" allowBlank="1" showInputMessage="1" showErrorMessage="1" prompt="Select" sqref="E80:G80" xr:uid="{00000000-0002-0000-0000-000011000000}">
      <formula1>"100%, &gt;50%, &lt;/=50%,&gt;80%,"</formula1>
    </dataValidation>
  </dataValidations>
  <printOptions horizontalCentered="1"/>
  <pageMargins left="0.4" right="0.4" top="0.3" bottom="0.5" header="0.3" footer="0.25"/>
  <pageSetup paperSize="9" scale="95" fitToHeight="4" orientation="portrait"/>
  <headerFooter>
    <oddFooter>&amp;L&amp;6 Doc#: FIR-003.5
Effective: 20171109&amp;C&amp;"Arial,Regular"&amp;6 Page &amp;P of &amp;N</oddFooter>
  </headerFooter>
  <rowBreaks count="1" manualBreakCount="1">
    <brk id="97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341"/>
  <sheetViews>
    <sheetView zoomScale="130" zoomScaleNormal="130" workbookViewId="0">
      <selection activeCell="K14" sqref="K14"/>
    </sheetView>
  </sheetViews>
  <sheetFormatPr defaultColWidth="9.21875" defaultRowHeight="15" customHeight="1"/>
  <cols>
    <col min="1" max="10" width="3.77734375" style="11" customWidth="1"/>
    <col min="11" max="11" width="5.21875" style="11" customWidth="1"/>
    <col min="12" max="25" width="3.77734375" style="11" customWidth="1"/>
    <col min="26" max="26" width="2.77734375" style="35" customWidth="1"/>
    <col min="27" max="27" width="9.21875" style="33" customWidth="1"/>
    <col min="28" max="28" width="9.21875" style="11" customWidth="1"/>
    <col min="29" max="16384" width="9.21875" style="11"/>
  </cols>
  <sheetData>
    <row r="1" spans="1:29" ht="9.75" customHeight="1"/>
    <row r="2" spans="1:29" ht="72.599999999999994" customHeight="1">
      <c r="A2" s="13"/>
      <c r="B2" s="1"/>
      <c r="C2" s="1"/>
      <c r="D2" s="13"/>
      <c r="E2" s="88" t="s">
        <v>0</v>
      </c>
      <c r="F2" s="89"/>
      <c r="G2" s="89"/>
      <c r="H2" s="90"/>
      <c r="I2" s="89"/>
      <c r="J2" s="89"/>
      <c r="K2" s="89"/>
      <c r="L2" s="89"/>
      <c r="M2" s="89"/>
      <c r="N2" s="1"/>
      <c r="O2" s="1"/>
      <c r="P2" s="1"/>
      <c r="Q2" s="1"/>
      <c r="R2" s="1"/>
      <c r="S2" s="1"/>
      <c r="T2" s="1"/>
      <c r="U2" s="13"/>
      <c r="V2" s="13"/>
      <c r="W2" s="13"/>
      <c r="X2" s="13"/>
      <c r="Y2" s="13"/>
    </row>
    <row r="3" spans="1:29" ht="8.1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4"/>
      <c r="O3" s="13"/>
      <c r="P3" s="13"/>
      <c r="Q3" s="13"/>
      <c r="R3" s="14"/>
      <c r="S3" s="14"/>
      <c r="T3" s="14"/>
      <c r="U3" s="13"/>
      <c r="V3" s="13"/>
      <c r="W3" s="13"/>
      <c r="X3" s="13"/>
      <c r="Y3" s="13"/>
    </row>
    <row r="4" spans="1:29" ht="12" customHeight="1">
      <c r="A4" s="168" t="s">
        <v>1</v>
      </c>
      <c r="B4" s="118"/>
      <c r="C4" s="118"/>
      <c r="D4" s="229" t="str">
        <f>IF('FRI report'!D4:H4="","",'FRI report'!D4:H4)</f>
        <v>Global Tech</v>
      </c>
      <c r="E4" s="184"/>
      <c r="F4" s="184"/>
      <c r="G4" s="184"/>
      <c r="H4" s="184"/>
      <c r="I4" s="117" t="s">
        <v>3</v>
      </c>
      <c r="J4" s="118"/>
      <c r="K4" s="118"/>
      <c r="L4" s="229" t="str">
        <f>IF('FRI report'!L4:Q4="","",'FRI report'!L4:Q4)</f>
        <v>Alpha Labs</v>
      </c>
      <c r="M4" s="184"/>
      <c r="N4" s="184"/>
      <c r="O4" s="184"/>
      <c r="P4" s="184"/>
      <c r="Q4" s="184"/>
      <c r="R4" s="168" t="s">
        <v>5</v>
      </c>
      <c r="S4" s="118"/>
      <c r="T4" s="118"/>
      <c r="U4" s="229" t="str">
        <f>IF('FRI report'!U4:Y4="","",'FRI report'!U4:Y4)</f>
        <v>PO-XX328</v>
      </c>
      <c r="V4" s="184"/>
      <c r="W4" s="184"/>
      <c r="X4" s="184"/>
      <c r="Y4" s="184"/>
      <c r="Z4" s="35" t="s">
        <v>194</v>
      </c>
      <c r="AA4" s="34" t="s">
        <v>195</v>
      </c>
      <c r="AB4" s="12"/>
      <c r="AC4" s="12"/>
    </row>
    <row r="5" spans="1:29" ht="12" customHeight="1">
      <c r="A5" s="117" t="s">
        <v>1227</v>
      </c>
      <c r="B5" s="118"/>
      <c r="C5" s="118"/>
      <c r="D5" s="229" t="str">
        <f>IF('FRI report'!D5:H5="","",'FRI report'!D5:H5)</f>
        <v>TX</v>
      </c>
      <c r="E5" s="184"/>
      <c r="F5" s="184"/>
      <c r="G5" s="184"/>
      <c r="H5" s="184"/>
      <c r="I5" s="168" t="s">
        <v>8</v>
      </c>
      <c r="J5" s="118"/>
      <c r="K5" s="118"/>
      <c r="L5" s="229" t="str">
        <f>IF('FRI report'!L5:Q5="","",'FRI report'!L5:Q5)</f>
        <v>Sam Davis</v>
      </c>
      <c r="M5" s="184"/>
      <c r="N5" s="184"/>
      <c r="O5" s="184"/>
      <c r="P5" s="184"/>
      <c r="Q5" s="184"/>
      <c r="R5" s="168" t="s">
        <v>1228</v>
      </c>
      <c r="S5" s="118"/>
      <c r="T5" s="118"/>
      <c r="U5" s="229" t="str">
        <f>IF('FRI report'!U5:Y5="","",'FRI report'!U5:Y5)</f>
        <v>21668732</v>
      </c>
      <c r="V5" s="184"/>
      <c r="W5" s="184"/>
      <c r="X5" s="184"/>
      <c r="Y5" s="184"/>
      <c r="AA5" s="34"/>
      <c r="AB5" s="12"/>
      <c r="AC5" s="12"/>
    </row>
    <row r="6" spans="1:29" ht="12" customHeight="1">
      <c r="A6" s="117" t="s">
        <v>11</v>
      </c>
      <c r="B6" s="118"/>
      <c r="C6" s="118"/>
      <c r="D6" s="229" t="str">
        <f>IF('FRI report'!D6:H6="","",'FRI report'!D6:H6)</f>
        <v>Avery Wilson</v>
      </c>
      <c r="E6" s="184"/>
      <c r="F6" s="184"/>
      <c r="G6" s="184"/>
      <c r="H6" s="184"/>
      <c r="I6" s="168" t="s">
        <v>13</v>
      </c>
      <c r="J6" s="118"/>
      <c r="K6" s="118"/>
      <c r="L6" s="229" t="str">
        <f>IF('FRI report'!L6:Q6="","",'FRI report'!L6:Q6)</f>
        <v>Greenfield county, Metro city</v>
      </c>
      <c r="M6" s="184"/>
      <c r="N6" s="184"/>
      <c r="O6" s="184"/>
      <c r="P6" s="184"/>
      <c r="Q6" s="184"/>
      <c r="R6" s="168" t="s">
        <v>15</v>
      </c>
      <c r="S6" s="118"/>
      <c r="T6" s="118"/>
      <c r="U6" s="230" t="str">
        <f>IF('FRI report'!U6:Y6="","",'FRI report'!U6:Y6)</f>
        <v>N/A</v>
      </c>
      <c r="V6" s="184"/>
      <c r="W6" s="184"/>
      <c r="X6" s="184"/>
      <c r="Y6" s="184"/>
    </row>
    <row r="7" spans="1:29" ht="12" customHeight="1">
      <c r="A7" s="168" t="s">
        <v>17</v>
      </c>
      <c r="B7" s="118"/>
      <c r="C7" s="118"/>
      <c r="D7" s="229" t="str">
        <f>IF('FRI report'!D7:H7="","",'FRI report'!D7:H7)</f>
        <v>XXBFNO6</v>
      </c>
      <c r="E7" s="184"/>
      <c r="F7" s="184"/>
      <c r="G7" s="184"/>
      <c r="H7" s="184"/>
      <c r="I7" s="168" t="s">
        <v>19</v>
      </c>
      <c r="J7" s="118"/>
      <c r="K7" s="118"/>
      <c r="L7" s="232">
        <f>IF('FRI report'!L7:Q7="","",'FRI report'!L7:Q7)</f>
        <v>46046</v>
      </c>
      <c r="M7" s="120"/>
      <c r="N7" s="120"/>
      <c r="O7" s="120"/>
      <c r="P7" s="120"/>
      <c r="Q7" s="120"/>
      <c r="R7" s="168" t="s">
        <v>20</v>
      </c>
      <c r="S7" s="118"/>
      <c r="T7" s="118"/>
      <c r="U7" s="230" t="str">
        <f>IF('FRI report'!U7:Y7="","",'FRI report'!U7:Y7)</f>
        <v>88907PCS</v>
      </c>
      <c r="V7" s="184"/>
      <c r="W7" s="184"/>
      <c r="X7" s="184"/>
      <c r="Y7" s="184"/>
    </row>
    <row r="8" spans="1:29" ht="12" customHeight="1">
      <c r="A8" s="168"/>
      <c r="B8" s="118"/>
      <c r="C8" s="118"/>
      <c r="D8" s="233"/>
      <c r="E8" s="129"/>
      <c r="F8" s="129"/>
      <c r="G8" s="129"/>
      <c r="H8" s="129"/>
      <c r="I8" s="117"/>
      <c r="J8" s="118"/>
      <c r="K8" s="118"/>
      <c r="L8" s="128"/>
      <c r="M8" s="129"/>
      <c r="N8" s="129"/>
      <c r="O8" s="129"/>
      <c r="P8" s="129"/>
      <c r="Q8" s="129"/>
      <c r="R8" s="168" t="s">
        <v>24</v>
      </c>
      <c r="S8" s="118"/>
      <c r="T8" s="118"/>
      <c r="U8" s="229" t="str">
        <f>IF('FRI report'!U8:Y8="","",'FRI report'!U8:Y8)</f>
        <v>9928-539898(1st lot)</v>
      </c>
      <c r="V8" s="184"/>
      <c r="W8" s="184"/>
      <c r="X8" s="184"/>
      <c r="Y8" s="184"/>
      <c r="AA8" s="34"/>
      <c r="AB8" s="12"/>
      <c r="AC8" s="12"/>
    </row>
    <row r="9" spans="1:29" ht="12" customHeight="1">
      <c r="A9" s="168" t="s">
        <v>26</v>
      </c>
      <c r="B9" s="118"/>
      <c r="C9" s="118"/>
      <c r="D9" s="229" t="str">
        <f>IF('FRI report'!D9:Y9="","",'FRI report'!D9:Y9)</f>
        <v>XX-ABC-68878-C</v>
      </c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</row>
    <row r="10" spans="1:29" ht="12" customHeight="1">
      <c r="A10" s="168" t="s">
        <v>28</v>
      </c>
      <c r="B10" s="118"/>
      <c r="C10" s="118"/>
      <c r="D10" s="229" t="str">
        <f>IF('FRI report'!D10:Y10="","",'FRI report'!D10:Y10)</f>
        <v>Standard Component Assembly with Seal Insert</v>
      </c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</row>
    <row r="11" spans="1:29" ht="5.0999999999999996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5"/>
      <c r="P11" s="13"/>
      <c r="Q11" s="15"/>
      <c r="R11" s="13"/>
      <c r="S11" s="15"/>
      <c r="T11" s="15"/>
      <c r="U11" s="13"/>
      <c r="V11" s="13"/>
      <c r="W11" s="13"/>
      <c r="X11" s="13"/>
      <c r="Y11" s="13"/>
    </row>
    <row r="12" spans="1:29" ht="10.5" customHeight="1">
      <c r="A12" s="231" t="s">
        <v>196</v>
      </c>
      <c r="B12" s="118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9" ht="10.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9" ht="10.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9" ht="10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1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9" ht="10.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10.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0.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0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1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0.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0.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0.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0.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0.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0.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0.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0.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0.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0.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0.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0.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0.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0.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0.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0.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0.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0.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0.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0.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0.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0.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0.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0.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0.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0.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0.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0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0.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0.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0.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0.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0.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0.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10.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0.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10.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0.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0.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0.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0.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0.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0.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0.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0.5" customHeight="1"/>
    <row r="65" ht="10.5" customHeight="1"/>
    <row r="66" ht="10.5" customHeight="1"/>
    <row r="67" ht="10.5" customHeight="1"/>
    <row r="68" ht="10.5" customHeight="1"/>
    <row r="69" ht="10.5" customHeight="1"/>
    <row r="70" ht="10.5" customHeight="1"/>
    <row r="71" ht="10.5" customHeight="1"/>
    <row r="72" ht="10.5" customHeight="1"/>
    <row r="73" ht="10.5" customHeight="1"/>
    <row r="74" ht="10.5" customHeight="1"/>
    <row r="75" ht="10.5" customHeight="1"/>
    <row r="76" ht="10.5" customHeight="1"/>
    <row r="77" ht="10.5" customHeight="1"/>
    <row r="78" ht="10.5" customHeight="1"/>
    <row r="79" ht="10.5" customHeight="1"/>
    <row r="80" ht="10.5" customHeight="1"/>
    <row r="81" ht="10.5" customHeight="1"/>
    <row r="82" ht="10.5" customHeight="1"/>
    <row r="83" ht="10.5" customHeight="1"/>
    <row r="84" ht="10.5" customHeight="1"/>
    <row r="85" ht="10.5" customHeight="1"/>
    <row r="86" ht="10.5" customHeight="1"/>
    <row r="87" ht="10.5" customHeight="1"/>
    <row r="88" ht="10.5" customHeight="1"/>
    <row r="89" ht="10.5" customHeight="1"/>
    <row r="90" ht="10.5" customHeight="1"/>
    <row r="91" ht="10.5" customHeight="1"/>
    <row r="92" ht="10.5" customHeight="1"/>
    <row r="93" ht="10.5" customHeight="1"/>
    <row r="94" ht="10.5" customHeight="1"/>
    <row r="95" ht="10.5" customHeight="1"/>
    <row r="96" ht="10.5" customHeight="1"/>
    <row r="97" ht="10.5" customHeight="1"/>
    <row r="98" ht="10.5" customHeight="1"/>
    <row r="99" ht="10.5" customHeight="1"/>
    <row r="100" ht="10.5" customHeight="1"/>
    <row r="101" ht="10.5" customHeight="1"/>
    <row r="102" ht="10.5" customHeight="1"/>
    <row r="103" ht="10.5" customHeight="1"/>
    <row r="104" ht="10.5" customHeight="1"/>
    <row r="105" ht="10.5" customHeight="1"/>
    <row r="106" ht="10.5" customHeight="1"/>
    <row r="107" ht="10.5" customHeight="1"/>
    <row r="108" ht="10.5" customHeight="1"/>
    <row r="109" ht="10.5" customHeight="1"/>
    <row r="110" ht="10.5" customHeight="1"/>
    <row r="111" ht="10.5" customHeight="1"/>
    <row r="112" ht="10.5" customHeight="1"/>
    <row r="113" ht="10.5" customHeight="1"/>
    <row r="114" ht="10.5" customHeight="1"/>
    <row r="115" ht="10.5" customHeight="1"/>
    <row r="116" ht="10.5" customHeight="1"/>
    <row r="117" ht="10.5" customHeight="1"/>
    <row r="118" ht="10.5" customHeight="1"/>
    <row r="119" ht="10.5" customHeight="1"/>
    <row r="120" ht="10.5" customHeight="1"/>
    <row r="121" ht="10.5" customHeight="1"/>
    <row r="122" ht="10.5" customHeight="1"/>
    <row r="123" ht="10.5" customHeight="1"/>
    <row r="124" ht="10.5" customHeight="1"/>
    <row r="125" ht="10.5" customHeight="1"/>
    <row r="126" ht="10.5" customHeight="1"/>
    <row r="127" ht="10.5" customHeight="1"/>
    <row r="128" ht="10.5" customHeight="1"/>
    <row r="129" ht="10.5" customHeight="1"/>
    <row r="130" ht="10.5" customHeight="1"/>
    <row r="131" ht="10.5" customHeight="1"/>
    <row r="132" ht="10.5" customHeight="1"/>
    <row r="133" ht="10.5" customHeight="1"/>
    <row r="134" ht="10.5" customHeight="1"/>
    <row r="135" ht="10.5" customHeight="1"/>
    <row r="136" ht="10.5" customHeight="1"/>
    <row r="137" ht="10.5" customHeight="1"/>
    <row r="138" ht="10.5" customHeight="1"/>
    <row r="139" ht="10.5" customHeight="1"/>
    <row r="140" ht="10.5" customHeight="1"/>
    <row r="141" ht="10.5" customHeight="1"/>
    <row r="142" ht="10.5" customHeight="1"/>
    <row r="143" ht="10.5" customHeight="1"/>
    <row r="144" ht="10.5" customHeight="1"/>
    <row r="145" ht="10.5" customHeight="1"/>
    <row r="146" ht="10.5" customHeight="1"/>
    <row r="147" ht="10.5" customHeight="1"/>
    <row r="148" ht="10.5" customHeight="1"/>
    <row r="149" ht="10.5" customHeight="1"/>
    <row r="150" ht="10.5" customHeight="1"/>
    <row r="151" ht="10.5" customHeight="1"/>
    <row r="152" ht="10.5" customHeight="1"/>
    <row r="153" ht="10.5" customHeight="1"/>
    <row r="154" ht="10.5" customHeight="1"/>
    <row r="155" ht="10.5" customHeight="1"/>
    <row r="156" ht="10.5" customHeight="1"/>
    <row r="157" ht="10.5" customHeight="1"/>
    <row r="158" ht="10.5" customHeight="1"/>
    <row r="159" ht="10.5" customHeight="1"/>
    <row r="160" ht="10.5" customHeight="1"/>
    <row r="161" ht="10.5" customHeight="1"/>
    <row r="162" ht="10.5" customHeight="1"/>
    <row r="163" ht="10.5" customHeight="1"/>
    <row r="164" ht="10.5" customHeight="1"/>
    <row r="165" ht="10.5" customHeight="1"/>
    <row r="166" ht="10.5" customHeight="1"/>
    <row r="167" ht="10.5" customHeight="1"/>
    <row r="168" ht="10.5" customHeight="1"/>
    <row r="169" ht="10.5" customHeight="1"/>
    <row r="170" ht="10.5" customHeight="1"/>
    <row r="171" ht="10.5" customHeight="1"/>
    <row r="172" ht="10.5" customHeight="1"/>
    <row r="173" ht="10.5" customHeight="1"/>
    <row r="174" ht="10.5" customHeight="1"/>
    <row r="175" ht="10.5" customHeight="1"/>
    <row r="176" ht="10.5" customHeight="1"/>
    <row r="177" ht="10.5" customHeight="1"/>
    <row r="178" ht="10.5" customHeight="1"/>
    <row r="179" ht="10.5" customHeight="1"/>
    <row r="180" ht="10.5" customHeight="1"/>
    <row r="181" ht="10.5" customHeight="1"/>
    <row r="182" ht="10.5" customHeight="1"/>
    <row r="183" ht="10.5" customHeight="1"/>
    <row r="184" ht="10.5" customHeight="1"/>
    <row r="185" ht="10.5" customHeight="1"/>
    <row r="186" ht="10.5" customHeight="1"/>
    <row r="187" ht="10.5" customHeight="1"/>
    <row r="188" ht="10.5" customHeight="1"/>
    <row r="189" ht="10.5" customHeight="1"/>
    <row r="190" ht="10.5" customHeight="1"/>
    <row r="191" ht="10.5" customHeight="1"/>
    <row r="192" ht="10.5" customHeight="1"/>
    <row r="193" ht="10.5" customHeight="1"/>
    <row r="194" ht="10.5" customHeight="1"/>
    <row r="195" ht="10.5" customHeight="1"/>
    <row r="196" ht="10.5" customHeight="1"/>
    <row r="197" ht="10.5" customHeight="1"/>
    <row r="198" ht="10.5" customHeight="1"/>
    <row r="199" ht="10.5" customHeight="1"/>
    <row r="200" ht="10.5" customHeight="1"/>
    <row r="201" ht="10.5" customHeight="1"/>
    <row r="202" ht="10.5" customHeight="1"/>
    <row r="203" ht="10.5" customHeight="1"/>
    <row r="204" ht="10.5" customHeight="1"/>
    <row r="205" ht="10.5" customHeight="1"/>
    <row r="206" ht="10.5" customHeight="1"/>
    <row r="207" ht="10.5" customHeight="1"/>
    <row r="208" ht="10.5" customHeight="1"/>
    <row r="209" ht="10.5" customHeight="1"/>
    <row r="210" ht="10.5" customHeight="1"/>
    <row r="211" ht="10.5" customHeight="1"/>
    <row r="212" ht="10.5" customHeight="1"/>
    <row r="213" ht="10.5" customHeight="1"/>
    <row r="214" ht="10.5" customHeight="1"/>
    <row r="215" ht="10.5" customHeight="1"/>
    <row r="216" ht="10.5" customHeight="1"/>
    <row r="217" ht="10.5" customHeight="1"/>
    <row r="218" ht="10.5" customHeight="1"/>
    <row r="219" ht="10.5" customHeight="1"/>
    <row r="220" ht="10.5" customHeight="1"/>
    <row r="221" ht="10.5" customHeight="1"/>
    <row r="222" ht="10.5" customHeight="1"/>
    <row r="223" ht="10.5" customHeight="1"/>
    <row r="224" ht="10.5" customHeight="1"/>
    <row r="225" ht="10.5" customHeight="1"/>
    <row r="226" ht="10.5" customHeight="1"/>
    <row r="227" ht="10.5" customHeight="1"/>
    <row r="228" ht="10.5" customHeight="1"/>
    <row r="229" ht="10.5" customHeight="1"/>
    <row r="230" ht="10.5" customHeight="1"/>
    <row r="231" ht="10.5" customHeight="1"/>
    <row r="232" ht="10.5" customHeight="1"/>
    <row r="233" ht="10.5" customHeight="1"/>
    <row r="234" ht="10.5" customHeight="1"/>
    <row r="235" ht="10.5" customHeight="1"/>
    <row r="236" ht="10.5" customHeight="1"/>
    <row r="237" ht="10.5" customHeight="1"/>
    <row r="238" ht="10.5" customHeight="1"/>
    <row r="239" ht="10.5" customHeight="1"/>
    <row r="240" ht="10.5" customHeight="1"/>
    <row r="241" ht="10.5" customHeight="1"/>
    <row r="242" ht="10.5" customHeight="1"/>
    <row r="243" ht="10.5" customHeight="1"/>
    <row r="244" ht="10.5" customHeight="1"/>
    <row r="245" ht="10.5" customHeight="1"/>
    <row r="246" ht="10.5" customHeight="1"/>
    <row r="247" ht="10.5" customHeight="1"/>
    <row r="248" ht="10.5" customHeight="1"/>
    <row r="249" ht="10.5" customHeight="1"/>
    <row r="250" ht="10.5" customHeight="1"/>
    <row r="251" ht="10.5" customHeight="1"/>
    <row r="252" ht="10.5" customHeight="1"/>
    <row r="253" ht="10.5" customHeight="1"/>
    <row r="254" ht="10.5" customHeight="1"/>
    <row r="255" ht="10.5" customHeight="1"/>
    <row r="256" ht="10.5" customHeight="1"/>
    <row r="257" ht="10.5" customHeight="1"/>
    <row r="258" ht="10.5" customHeight="1"/>
    <row r="259" ht="10.5" customHeight="1"/>
    <row r="260" ht="10.5" customHeight="1"/>
    <row r="261" ht="10.5" customHeight="1"/>
    <row r="262" ht="10.5" customHeight="1"/>
    <row r="263" ht="10.5" customHeight="1"/>
    <row r="264" ht="10.5" customHeight="1"/>
    <row r="265" ht="10.5" customHeight="1"/>
    <row r="266" ht="10.5" customHeight="1"/>
    <row r="267" ht="10.5" customHeight="1"/>
    <row r="268" ht="10.5" customHeight="1"/>
    <row r="269" ht="10.5" customHeight="1"/>
    <row r="270" ht="10.5" customHeight="1"/>
    <row r="271" ht="10.5" customHeight="1"/>
    <row r="272" ht="10.5" customHeight="1"/>
    <row r="273" ht="10.5" customHeight="1"/>
    <row r="274" ht="10.5" customHeight="1"/>
    <row r="275" ht="10.5" customHeight="1"/>
    <row r="276" ht="10.5" customHeight="1"/>
    <row r="277" ht="10.5" customHeight="1"/>
    <row r="278" ht="10.5" customHeight="1"/>
    <row r="279" ht="10.5" customHeight="1"/>
    <row r="280" ht="10.5" customHeight="1"/>
    <row r="281" ht="10.5" customHeight="1"/>
    <row r="282" ht="10.5" customHeight="1"/>
    <row r="283" ht="10.5" customHeight="1"/>
    <row r="284" ht="10.5" customHeight="1"/>
    <row r="285" ht="10.5" customHeight="1"/>
    <row r="286" ht="10.5" customHeight="1"/>
    <row r="287" ht="10.5" customHeight="1"/>
    <row r="288" ht="10.5" customHeight="1"/>
    <row r="289" ht="10.5" customHeight="1"/>
    <row r="290" ht="10.5" customHeight="1"/>
    <row r="291" ht="10.5" customHeight="1"/>
    <row r="292" ht="10.5" customHeight="1"/>
    <row r="293" ht="10.5" customHeight="1"/>
    <row r="294" ht="10.5" customHeight="1"/>
    <row r="295" ht="10.5" customHeight="1"/>
    <row r="296" ht="10.5" customHeight="1"/>
    <row r="297" ht="10.5" customHeight="1"/>
    <row r="298" ht="10.5" customHeight="1"/>
    <row r="299" ht="10.5" customHeight="1"/>
    <row r="300" ht="10.5" customHeight="1"/>
    <row r="301" ht="10.5" customHeight="1"/>
    <row r="302" ht="10.5" customHeight="1"/>
    <row r="303" ht="10.5" customHeight="1"/>
    <row r="304" ht="10.5" customHeight="1"/>
    <row r="305" ht="10.5" customHeight="1"/>
    <row r="306" ht="10.5" customHeight="1"/>
    <row r="307" ht="10.5" customHeight="1"/>
    <row r="308" ht="10.5" customHeight="1"/>
    <row r="309" ht="10.5" customHeight="1"/>
    <row r="310" ht="10.5" customHeight="1"/>
    <row r="311" ht="10.5" customHeight="1"/>
    <row r="312" ht="10.5" customHeight="1"/>
    <row r="313" ht="10.5" customHeight="1"/>
    <row r="314" ht="10.5" customHeight="1"/>
    <row r="315" ht="10.5" customHeight="1"/>
    <row r="316" ht="10.5" customHeight="1"/>
    <row r="317" ht="10.5" customHeight="1"/>
    <row r="318" ht="10.5" customHeight="1"/>
    <row r="319" ht="10.5" customHeight="1"/>
    <row r="320" ht="10.5" customHeight="1"/>
    <row r="321" ht="10.5" customHeight="1"/>
    <row r="322" ht="10.5" customHeight="1"/>
    <row r="323" ht="10.5" customHeight="1"/>
    <row r="324" ht="10.5" customHeight="1"/>
    <row r="325" ht="10.5" customHeight="1"/>
    <row r="326" ht="10.5" customHeight="1"/>
    <row r="327" ht="10.5" customHeight="1"/>
    <row r="328" ht="10.5" customHeight="1"/>
    <row r="329" ht="10.5" customHeight="1"/>
    <row r="330" ht="10.5" customHeight="1"/>
    <row r="331" ht="10.5" customHeight="1"/>
    <row r="332" ht="10.5" customHeight="1"/>
    <row r="333" ht="10.5" customHeight="1"/>
    <row r="334" ht="10.5" customHeight="1"/>
    <row r="335" ht="10.5" customHeight="1"/>
    <row r="336" ht="10.5" customHeight="1"/>
    <row r="337" ht="10.5" customHeight="1"/>
    <row r="338" ht="10.5" customHeight="1"/>
    <row r="339" ht="10.5" customHeight="1"/>
    <row r="340" ht="10.5" customHeight="1"/>
    <row r="341" ht="10.5" customHeight="1"/>
  </sheetData>
  <mergeCells count="35">
    <mergeCell ref="A12:B12"/>
    <mergeCell ref="A10:C10"/>
    <mergeCell ref="D10:Y10"/>
    <mergeCell ref="U7:Y7"/>
    <mergeCell ref="D7:H7"/>
    <mergeCell ref="A9:C9"/>
    <mergeCell ref="A7:C7"/>
    <mergeCell ref="R8:T8"/>
    <mergeCell ref="L7:Q7"/>
    <mergeCell ref="U8:Y8"/>
    <mergeCell ref="D8:H8"/>
    <mergeCell ref="R7:T7"/>
    <mergeCell ref="I7:K7"/>
    <mergeCell ref="A5:C5"/>
    <mergeCell ref="I5:K5"/>
    <mergeCell ref="A8:C8"/>
    <mergeCell ref="I8:K8"/>
    <mergeCell ref="I4:K4"/>
    <mergeCell ref="A4:C4"/>
    <mergeCell ref="D4:H4"/>
    <mergeCell ref="I6:K6"/>
    <mergeCell ref="A6:C6"/>
    <mergeCell ref="D5:H5"/>
    <mergeCell ref="L5:Q5"/>
    <mergeCell ref="U6:Y6"/>
    <mergeCell ref="D9:Y9"/>
    <mergeCell ref="L8:Q8"/>
    <mergeCell ref="L4:Q4"/>
    <mergeCell ref="D6:H6"/>
    <mergeCell ref="L6:Q6"/>
    <mergeCell ref="R5:T5"/>
    <mergeCell ref="R4:T4"/>
    <mergeCell ref="U5:Y5"/>
    <mergeCell ref="U4:Y4"/>
    <mergeCell ref="R6:T6"/>
  </mergeCells>
  <printOptions horizontalCentered="1"/>
  <pageMargins left="0.4" right="0.4" top="0.3" bottom="0.5" header="0.3" footer="0.25"/>
  <pageSetup paperSize="9" scale="95" fitToHeight="4" orientation="portrait"/>
  <headerFooter>
    <oddFooter>&amp;L&amp;6 Doc#: FIR-003.5
Effective: 20171109&amp;C&amp;"Arial,Regular"&amp;6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C341"/>
  <sheetViews>
    <sheetView topLeftCell="A25" zoomScale="130" zoomScaleNormal="130" workbookViewId="0">
      <selection activeCell="D7" sqref="D7:H7"/>
    </sheetView>
  </sheetViews>
  <sheetFormatPr defaultColWidth="9.21875" defaultRowHeight="15" customHeight="1"/>
  <cols>
    <col min="1" max="10" width="3.77734375" style="11" customWidth="1"/>
    <col min="11" max="11" width="5.109375" style="11" customWidth="1"/>
    <col min="12" max="25" width="3.77734375" style="11" customWidth="1"/>
    <col min="26" max="26" width="2.77734375" style="35" customWidth="1"/>
    <col min="27" max="27" width="9.21875" style="33" customWidth="1"/>
    <col min="28" max="28" width="9.21875" style="11" customWidth="1"/>
    <col min="29" max="16384" width="9.21875" style="11"/>
  </cols>
  <sheetData>
    <row r="1" spans="1:29" ht="9.75" customHeight="1"/>
    <row r="2" spans="1:29" ht="72.599999999999994" customHeight="1">
      <c r="A2" s="13"/>
      <c r="B2" s="1"/>
      <c r="C2" s="1"/>
      <c r="D2" s="13"/>
      <c r="E2" s="88" t="s">
        <v>0</v>
      </c>
      <c r="F2" s="89"/>
      <c r="G2" s="89"/>
      <c r="H2" s="90"/>
      <c r="I2" s="89"/>
      <c r="J2" s="89"/>
      <c r="K2" s="89"/>
      <c r="L2" s="89"/>
      <c r="M2" s="89"/>
      <c r="N2" s="1"/>
      <c r="O2" s="1"/>
      <c r="P2" s="1"/>
      <c r="Q2" s="1"/>
      <c r="R2" s="1"/>
      <c r="S2" s="1"/>
      <c r="T2" s="1"/>
      <c r="U2" s="13"/>
      <c r="V2" s="13"/>
      <c r="W2" s="13"/>
      <c r="X2" s="13"/>
      <c r="Y2" s="13"/>
    </row>
    <row r="3" spans="1:29" ht="8.1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4"/>
      <c r="O3" s="13"/>
      <c r="P3" s="13"/>
      <c r="Q3" s="13"/>
      <c r="R3" s="14"/>
      <c r="S3" s="14"/>
      <c r="T3" s="14"/>
      <c r="U3" s="13"/>
      <c r="V3" s="13"/>
      <c r="W3" s="13"/>
      <c r="X3" s="13"/>
      <c r="Y3" s="13"/>
    </row>
    <row r="4" spans="1:29" ht="12" customHeight="1">
      <c r="A4" s="168" t="s">
        <v>1</v>
      </c>
      <c r="B4" s="118"/>
      <c r="C4" s="118"/>
      <c r="D4" s="229" t="str">
        <f>IF('FRI report'!D4:H4="","",'FRI report'!D4:H4)</f>
        <v>Global Tech</v>
      </c>
      <c r="E4" s="184"/>
      <c r="F4" s="184"/>
      <c r="G4" s="184"/>
      <c r="H4" s="184"/>
      <c r="I4" s="117" t="s">
        <v>3</v>
      </c>
      <c r="J4" s="118"/>
      <c r="K4" s="118"/>
      <c r="L4" s="229" t="str">
        <f>IF('FRI report'!L4:Q4="","",'FRI report'!L4:Q4)</f>
        <v>Alpha Labs</v>
      </c>
      <c r="M4" s="184"/>
      <c r="N4" s="184"/>
      <c r="O4" s="184"/>
      <c r="P4" s="184"/>
      <c r="Q4" s="184"/>
      <c r="R4" s="168" t="s">
        <v>5</v>
      </c>
      <c r="S4" s="118"/>
      <c r="T4" s="118"/>
      <c r="U4" s="229" t="str">
        <f>IF('FRI report'!U4:Y4="","",'FRI report'!U4:Y4)</f>
        <v>PO-XX328</v>
      </c>
      <c r="V4" s="184"/>
      <c r="W4" s="184"/>
      <c r="X4" s="184"/>
      <c r="Y4" s="184"/>
      <c r="Z4" s="35" t="s">
        <v>194</v>
      </c>
      <c r="AA4" s="34" t="s">
        <v>195</v>
      </c>
      <c r="AB4" s="12"/>
      <c r="AC4" s="12"/>
    </row>
    <row r="5" spans="1:29" ht="12" customHeight="1">
      <c r="A5" s="117" t="s">
        <v>1227</v>
      </c>
      <c r="B5" s="118"/>
      <c r="C5" s="118"/>
      <c r="D5" s="229" t="str">
        <f>IF('FRI report'!D5:H5="","",'FRI report'!D5:H5)</f>
        <v>TX</v>
      </c>
      <c r="E5" s="184"/>
      <c r="F5" s="184"/>
      <c r="G5" s="184"/>
      <c r="H5" s="184"/>
      <c r="I5" s="168" t="s">
        <v>8</v>
      </c>
      <c r="J5" s="118"/>
      <c r="K5" s="118"/>
      <c r="L5" s="229" t="str">
        <f>IF('FRI report'!L5:Q5="","",'FRI report'!L5:Q5)</f>
        <v>Sam Davis</v>
      </c>
      <c r="M5" s="184"/>
      <c r="N5" s="184"/>
      <c r="O5" s="184"/>
      <c r="P5" s="184"/>
      <c r="Q5" s="184"/>
      <c r="R5" s="168" t="s">
        <v>1228</v>
      </c>
      <c r="S5" s="118"/>
      <c r="T5" s="118"/>
      <c r="U5" s="229" t="str">
        <f>IF('FRI report'!U5:Y5="","",'FRI report'!U5:Y5)</f>
        <v>21668732</v>
      </c>
      <c r="V5" s="184"/>
      <c r="W5" s="184"/>
      <c r="X5" s="184"/>
      <c r="Y5" s="184"/>
      <c r="AA5" s="34"/>
      <c r="AB5" s="12"/>
      <c r="AC5" s="12"/>
    </row>
    <row r="6" spans="1:29" ht="12" customHeight="1">
      <c r="A6" s="117" t="s">
        <v>11</v>
      </c>
      <c r="B6" s="118"/>
      <c r="C6" s="118"/>
      <c r="D6" s="229" t="str">
        <f>IF('FRI report'!D6:H6="","",'FRI report'!D6:H6)</f>
        <v>Avery Wilson</v>
      </c>
      <c r="E6" s="184"/>
      <c r="F6" s="184"/>
      <c r="G6" s="184"/>
      <c r="H6" s="184"/>
      <c r="I6" s="168" t="s">
        <v>13</v>
      </c>
      <c r="J6" s="118"/>
      <c r="K6" s="118"/>
      <c r="L6" s="229" t="str">
        <f>IF('FRI report'!L6:Q6="","",'FRI report'!L6:Q6)</f>
        <v>Greenfield county, Metro city</v>
      </c>
      <c r="M6" s="184"/>
      <c r="N6" s="184"/>
      <c r="O6" s="184"/>
      <c r="P6" s="184"/>
      <c r="Q6" s="184"/>
      <c r="R6" s="168" t="s">
        <v>15</v>
      </c>
      <c r="S6" s="118"/>
      <c r="T6" s="118"/>
      <c r="U6" s="230" t="str">
        <f>IF('FRI report'!U6:Y6="","",'FRI report'!U6:Y6)</f>
        <v>N/A</v>
      </c>
      <c r="V6" s="184"/>
      <c r="W6" s="184"/>
      <c r="X6" s="184"/>
      <c r="Y6" s="184"/>
    </row>
    <row r="7" spans="1:29" ht="12" customHeight="1">
      <c r="A7" s="168" t="s">
        <v>17</v>
      </c>
      <c r="B7" s="118"/>
      <c r="C7" s="118"/>
      <c r="D7" s="229" t="str">
        <f>IF('FRI report'!D7:H7="","",'FRI report'!D7:H7)</f>
        <v>XXBFNO6</v>
      </c>
      <c r="E7" s="184"/>
      <c r="F7" s="184"/>
      <c r="G7" s="184"/>
      <c r="H7" s="184"/>
      <c r="I7" s="168" t="s">
        <v>19</v>
      </c>
      <c r="J7" s="118"/>
      <c r="K7" s="118"/>
      <c r="L7" s="232">
        <f>IF('FRI report'!L7:Q7="","",'FRI report'!L7:Q7)</f>
        <v>46046</v>
      </c>
      <c r="M7" s="120"/>
      <c r="N7" s="120"/>
      <c r="O7" s="120"/>
      <c r="P7" s="120"/>
      <c r="Q7" s="120"/>
      <c r="R7" s="168" t="s">
        <v>20</v>
      </c>
      <c r="S7" s="118"/>
      <c r="T7" s="118"/>
      <c r="U7" s="230" t="str">
        <f>IF('FRI report'!U7:Y7="","",'FRI report'!U7:Y7)</f>
        <v>88907PCS</v>
      </c>
      <c r="V7" s="184"/>
      <c r="W7" s="184"/>
      <c r="X7" s="184"/>
      <c r="Y7" s="184"/>
    </row>
    <row r="8" spans="1:29" ht="12" customHeight="1">
      <c r="A8" s="168"/>
      <c r="B8" s="118"/>
      <c r="C8" s="118"/>
      <c r="D8" s="233"/>
      <c r="E8" s="129"/>
      <c r="F8" s="129"/>
      <c r="G8" s="129"/>
      <c r="H8" s="129"/>
      <c r="I8" s="117"/>
      <c r="J8" s="118"/>
      <c r="K8" s="118"/>
      <c r="L8" s="128"/>
      <c r="M8" s="129"/>
      <c r="N8" s="129"/>
      <c r="O8" s="129"/>
      <c r="P8" s="129"/>
      <c r="Q8" s="129"/>
      <c r="R8" s="168" t="s">
        <v>24</v>
      </c>
      <c r="S8" s="118"/>
      <c r="T8" s="118"/>
      <c r="U8" s="229" t="str">
        <f>IF('FRI report'!U8:Y8="","",'FRI report'!U8:Y8)</f>
        <v>9928-539898(1st lot)</v>
      </c>
      <c r="V8" s="184"/>
      <c r="W8" s="184"/>
      <c r="X8" s="184"/>
      <c r="Y8" s="184"/>
      <c r="AA8" s="34"/>
      <c r="AB8" s="12"/>
      <c r="AC8" s="12"/>
    </row>
    <row r="9" spans="1:29" ht="12" customHeight="1">
      <c r="A9" s="168" t="s">
        <v>26</v>
      </c>
      <c r="B9" s="118"/>
      <c r="C9" s="118"/>
      <c r="D9" s="229" t="str">
        <f>IF('FRI report'!D9:Y9="","",'FRI report'!D9:Y9)</f>
        <v>XX-ABC-68878-C</v>
      </c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</row>
    <row r="10" spans="1:29" ht="12" customHeight="1">
      <c r="A10" s="168" t="s">
        <v>28</v>
      </c>
      <c r="B10" s="118"/>
      <c r="C10" s="118"/>
      <c r="D10" s="229" t="str">
        <f>IF('FRI report'!D10:Y10="","",'FRI report'!D10:Y10)</f>
        <v>Standard Component Assembly with Seal Insert</v>
      </c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</row>
    <row r="11" spans="1:29" ht="5.0999999999999996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5"/>
      <c r="P11" s="13"/>
      <c r="Q11" s="15"/>
      <c r="R11" s="13"/>
      <c r="S11" s="15"/>
      <c r="T11" s="15"/>
      <c r="U11" s="13"/>
      <c r="V11" s="13"/>
      <c r="W11" s="13"/>
      <c r="X11" s="13"/>
      <c r="Y11" s="13"/>
    </row>
    <row r="12" spans="1:29" ht="10.5" customHeight="1">
      <c r="A12" s="231" t="s">
        <v>196</v>
      </c>
      <c r="B12" s="118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9" ht="10.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9" ht="10.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9" ht="10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1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9" ht="10.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10.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0.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0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1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0.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0.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0.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0.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0.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0.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0.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0.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0.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0.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0.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0.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0.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0.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0.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0.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0.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0.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0.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0.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0.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0.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0.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0.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0.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0.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0.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0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0.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0.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0.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0.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0.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0.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10.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0.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10.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0.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0.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0.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0.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0.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0.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0.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0.5" customHeight="1"/>
    <row r="65" ht="10.5" customHeight="1"/>
    <row r="66" ht="10.5" customHeight="1"/>
    <row r="67" ht="10.5" customHeight="1"/>
    <row r="68" ht="10.5" customHeight="1"/>
    <row r="69" ht="10.5" customHeight="1"/>
    <row r="70" ht="10.5" customHeight="1"/>
    <row r="71" ht="10.5" customHeight="1"/>
    <row r="72" ht="10.5" customHeight="1"/>
    <row r="73" ht="10.5" customHeight="1"/>
    <row r="74" ht="10.5" customHeight="1"/>
    <row r="75" ht="10.5" customHeight="1"/>
    <row r="76" ht="10.5" customHeight="1"/>
    <row r="77" ht="10.5" customHeight="1"/>
    <row r="78" ht="10.5" customHeight="1"/>
    <row r="79" ht="10.5" customHeight="1"/>
    <row r="80" ht="10.5" customHeight="1"/>
    <row r="81" ht="10.5" customHeight="1"/>
    <row r="82" ht="10.5" customHeight="1"/>
    <row r="83" ht="10.5" customHeight="1"/>
    <row r="84" ht="10.5" customHeight="1"/>
    <row r="85" ht="10.5" customHeight="1"/>
    <row r="86" ht="10.5" customHeight="1"/>
    <row r="87" ht="10.5" customHeight="1"/>
    <row r="88" ht="10.5" customHeight="1"/>
    <row r="89" ht="10.5" customHeight="1"/>
    <row r="90" ht="10.5" customHeight="1"/>
    <row r="91" ht="10.5" customHeight="1"/>
    <row r="92" ht="10.5" customHeight="1"/>
    <row r="93" ht="10.5" customHeight="1"/>
    <row r="94" ht="10.5" customHeight="1"/>
    <row r="95" ht="10.5" customHeight="1"/>
    <row r="96" ht="10.5" customHeight="1"/>
    <row r="97" ht="10.5" customHeight="1"/>
    <row r="98" ht="10.5" customHeight="1"/>
    <row r="99" ht="10.5" customHeight="1"/>
    <row r="100" ht="10.5" customHeight="1"/>
    <row r="101" ht="10.5" customHeight="1"/>
    <row r="102" ht="10.5" customHeight="1"/>
    <row r="103" ht="10.5" customHeight="1"/>
    <row r="104" ht="10.5" customHeight="1"/>
    <row r="105" ht="10.5" customHeight="1"/>
    <row r="106" ht="10.5" customHeight="1"/>
    <row r="107" ht="10.5" customHeight="1"/>
    <row r="108" ht="10.5" customHeight="1"/>
    <row r="109" ht="10.5" customHeight="1"/>
    <row r="110" ht="10.5" customHeight="1"/>
    <row r="111" ht="10.5" customHeight="1"/>
    <row r="112" ht="10.5" customHeight="1"/>
    <row r="113" ht="10.5" customHeight="1"/>
    <row r="114" ht="10.5" customHeight="1"/>
    <row r="115" ht="10.5" customHeight="1"/>
    <row r="116" ht="10.5" customHeight="1"/>
    <row r="117" ht="10.5" customHeight="1"/>
    <row r="118" ht="10.5" customHeight="1"/>
    <row r="119" ht="10.5" customHeight="1"/>
    <row r="120" ht="10.5" customHeight="1"/>
    <row r="121" ht="10.5" customHeight="1"/>
    <row r="122" ht="10.5" customHeight="1"/>
    <row r="123" ht="10.5" customHeight="1"/>
    <row r="124" ht="10.5" customHeight="1"/>
    <row r="125" ht="10.5" customHeight="1"/>
    <row r="126" ht="10.5" customHeight="1"/>
    <row r="127" ht="10.5" customHeight="1"/>
    <row r="128" ht="10.5" customHeight="1"/>
    <row r="129" ht="10.5" customHeight="1"/>
    <row r="130" ht="10.5" customHeight="1"/>
    <row r="131" ht="10.5" customHeight="1"/>
    <row r="132" ht="10.5" customHeight="1"/>
    <row r="133" ht="10.5" customHeight="1"/>
    <row r="134" ht="10.5" customHeight="1"/>
    <row r="135" ht="10.5" customHeight="1"/>
    <row r="136" ht="10.5" customHeight="1"/>
    <row r="137" ht="10.5" customHeight="1"/>
    <row r="138" ht="10.5" customHeight="1"/>
    <row r="139" ht="10.5" customHeight="1"/>
    <row r="140" ht="10.5" customHeight="1"/>
    <row r="141" ht="10.5" customHeight="1"/>
    <row r="142" ht="10.5" customHeight="1"/>
    <row r="143" ht="10.5" customHeight="1"/>
    <row r="144" ht="10.5" customHeight="1"/>
    <row r="145" ht="10.5" customHeight="1"/>
    <row r="146" ht="10.5" customHeight="1"/>
    <row r="147" ht="10.5" customHeight="1"/>
    <row r="148" ht="10.5" customHeight="1"/>
    <row r="149" ht="10.5" customHeight="1"/>
    <row r="150" ht="10.5" customHeight="1"/>
    <row r="151" ht="10.5" customHeight="1"/>
    <row r="152" ht="10.5" customHeight="1"/>
    <row r="153" ht="10.5" customHeight="1"/>
    <row r="154" ht="10.5" customHeight="1"/>
    <row r="155" ht="10.5" customHeight="1"/>
    <row r="156" ht="10.5" customHeight="1"/>
    <row r="157" ht="10.5" customHeight="1"/>
    <row r="158" ht="10.5" customHeight="1"/>
    <row r="159" ht="10.5" customHeight="1"/>
    <row r="160" ht="10.5" customHeight="1"/>
    <row r="161" ht="10.5" customHeight="1"/>
    <row r="162" ht="10.5" customHeight="1"/>
    <row r="163" ht="10.5" customHeight="1"/>
    <row r="164" ht="10.5" customHeight="1"/>
    <row r="165" ht="10.5" customHeight="1"/>
    <row r="166" ht="10.5" customHeight="1"/>
    <row r="167" ht="10.5" customHeight="1"/>
    <row r="168" ht="10.5" customHeight="1"/>
    <row r="169" ht="10.5" customHeight="1"/>
    <row r="170" ht="10.5" customHeight="1"/>
    <row r="171" ht="10.5" customHeight="1"/>
    <row r="172" ht="10.5" customHeight="1"/>
    <row r="173" ht="10.5" customHeight="1"/>
    <row r="174" ht="10.5" customHeight="1"/>
    <row r="175" ht="10.5" customHeight="1"/>
    <row r="176" ht="10.5" customHeight="1"/>
    <row r="177" ht="10.5" customHeight="1"/>
    <row r="178" ht="10.5" customHeight="1"/>
    <row r="179" ht="10.5" customHeight="1"/>
    <row r="180" ht="10.5" customHeight="1"/>
    <row r="181" ht="10.5" customHeight="1"/>
    <row r="182" ht="10.5" customHeight="1"/>
    <row r="183" ht="10.5" customHeight="1"/>
    <row r="184" ht="10.5" customHeight="1"/>
    <row r="185" ht="10.5" customHeight="1"/>
    <row r="186" ht="10.5" customHeight="1"/>
    <row r="187" ht="10.5" customHeight="1"/>
    <row r="188" ht="10.5" customHeight="1"/>
    <row r="189" ht="10.5" customHeight="1"/>
    <row r="190" ht="10.5" customHeight="1"/>
    <row r="191" ht="10.5" customHeight="1"/>
    <row r="192" ht="10.5" customHeight="1"/>
    <row r="193" ht="10.5" customHeight="1"/>
    <row r="194" ht="10.5" customHeight="1"/>
    <row r="195" ht="10.5" customHeight="1"/>
    <row r="196" ht="10.5" customHeight="1"/>
    <row r="197" ht="10.5" customHeight="1"/>
    <row r="198" ht="10.5" customHeight="1"/>
    <row r="199" ht="10.5" customHeight="1"/>
    <row r="200" ht="10.5" customHeight="1"/>
    <row r="201" ht="10.5" customHeight="1"/>
    <row r="202" ht="10.5" customHeight="1"/>
    <row r="203" ht="10.5" customHeight="1"/>
    <row r="204" ht="10.5" customHeight="1"/>
    <row r="205" ht="10.5" customHeight="1"/>
    <row r="206" ht="10.5" customHeight="1"/>
    <row r="207" ht="10.5" customHeight="1"/>
    <row r="208" ht="10.5" customHeight="1"/>
    <row r="209" ht="10.5" customHeight="1"/>
    <row r="210" ht="10.5" customHeight="1"/>
    <row r="211" ht="10.5" customHeight="1"/>
    <row r="212" ht="10.5" customHeight="1"/>
    <row r="213" ht="10.5" customHeight="1"/>
    <row r="214" ht="10.5" customHeight="1"/>
    <row r="215" ht="10.5" customHeight="1"/>
    <row r="216" ht="10.5" customHeight="1"/>
    <row r="217" ht="10.5" customHeight="1"/>
    <row r="218" ht="10.5" customHeight="1"/>
    <row r="219" ht="10.5" customHeight="1"/>
    <row r="220" ht="10.5" customHeight="1"/>
    <row r="221" ht="10.5" customHeight="1"/>
    <row r="222" ht="10.5" customHeight="1"/>
    <row r="223" ht="10.5" customHeight="1"/>
    <row r="224" ht="10.5" customHeight="1"/>
    <row r="225" ht="10.5" customHeight="1"/>
    <row r="226" ht="10.5" customHeight="1"/>
    <row r="227" ht="10.5" customHeight="1"/>
    <row r="228" ht="10.5" customHeight="1"/>
    <row r="229" ht="10.5" customHeight="1"/>
    <row r="230" ht="10.5" customHeight="1"/>
    <row r="231" ht="10.5" customHeight="1"/>
    <row r="232" ht="10.5" customHeight="1"/>
    <row r="233" ht="10.5" customHeight="1"/>
    <row r="234" ht="10.5" customHeight="1"/>
    <row r="235" ht="10.5" customHeight="1"/>
    <row r="236" ht="10.5" customHeight="1"/>
    <row r="237" ht="10.5" customHeight="1"/>
    <row r="238" ht="10.5" customHeight="1"/>
    <row r="239" ht="10.5" customHeight="1"/>
    <row r="240" ht="10.5" customHeight="1"/>
    <row r="241" ht="10.5" customHeight="1"/>
    <row r="242" ht="10.5" customHeight="1"/>
    <row r="243" ht="10.5" customHeight="1"/>
    <row r="244" ht="10.5" customHeight="1"/>
    <row r="245" ht="10.5" customHeight="1"/>
    <row r="246" ht="10.5" customHeight="1"/>
    <row r="247" ht="10.5" customHeight="1"/>
    <row r="248" ht="10.5" customHeight="1"/>
    <row r="249" ht="10.5" customHeight="1"/>
    <row r="250" ht="10.5" customHeight="1"/>
    <row r="251" ht="10.5" customHeight="1"/>
    <row r="252" ht="10.5" customHeight="1"/>
    <row r="253" ht="10.5" customHeight="1"/>
    <row r="254" ht="10.5" customHeight="1"/>
    <row r="255" ht="10.5" customHeight="1"/>
    <row r="256" ht="10.5" customHeight="1"/>
    <row r="257" ht="10.5" customHeight="1"/>
    <row r="258" ht="10.5" customHeight="1"/>
    <row r="259" ht="10.5" customHeight="1"/>
    <row r="260" ht="10.5" customHeight="1"/>
    <row r="261" ht="10.5" customHeight="1"/>
    <row r="262" ht="10.5" customHeight="1"/>
    <row r="263" ht="10.5" customHeight="1"/>
    <row r="264" ht="10.5" customHeight="1"/>
    <row r="265" ht="10.5" customHeight="1"/>
    <row r="266" ht="10.5" customHeight="1"/>
    <row r="267" ht="10.5" customHeight="1"/>
    <row r="268" ht="10.5" customHeight="1"/>
    <row r="269" ht="10.5" customHeight="1"/>
    <row r="270" ht="10.5" customHeight="1"/>
    <row r="271" ht="10.5" customHeight="1"/>
    <row r="272" ht="10.5" customHeight="1"/>
    <row r="273" ht="10.5" customHeight="1"/>
    <row r="274" ht="10.5" customHeight="1"/>
    <row r="275" ht="10.5" customHeight="1"/>
    <row r="276" ht="10.5" customHeight="1"/>
    <row r="277" ht="10.5" customHeight="1"/>
    <row r="278" ht="10.5" customHeight="1"/>
    <row r="279" ht="10.5" customHeight="1"/>
    <row r="280" ht="10.5" customHeight="1"/>
    <row r="281" ht="10.5" customHeight="1"/>
    <row r="282" ht="10.5" customHeight="1"/>
    <row r="283" ht="10.5" customHeight="1"/>
    <row r="284" ht="10.5" customHeight="1"/>
    <row r="285" ht="10.5" customHeight="1"/>
    <row r="286" ht="10.5" customHeight="1"/>
    <row r="287" ht="10.5" customHeight="1"/>
    <row r="288" ht="10.5" customHeight="1"/>
    <row r="289" ht="10.5" customHeight="1"/>
    <row r="290" ht="10.5" customHeight="1"/>
    <row r="291" ht="10.5" customHeight="1"/>
    <row r="292" ht="10.5" customHeight="1"/>
    <row r="293" ht="10.5" customHeight="1"/>
    <row r="294" ht="10.5" customHeight="1"/>
    <row r="295" ht="10.5" customHeight="1"/>
    <row r="296" ht="10.5" customHeight="1"/>
    <row r="297" ht="10.5" customHeight="1"/>
    <row r="298" ht="10.5" customHeight="1"/>
    <row r="299" ht="10.5" customHeight="1"/>
    <row r="300" ht="10.5" customHeight="1"/>
    <row r="301" ht="10.5" customHeight="1"/>
    <row r="302" ht="10.5" customHeight="1"/>
    <row r="303" ht="10.5" customHeight="1"/>
    <row r="304" ht="10.5" customHeight="1"/>
    <row r="305" ht="10.5" customHeight="1"/>
    <row r="306" ht="10.5" customHeight="1"/>
    <row r="307" ht="10.5" customHeight="1"/>
    <row r="308" ht="10.5" customHeight="1"/>
    <row r="309" ht="10.5" customHeight="1"/>
    <row r="310" ht="10.5" customHeight="1"/>
    <row r="311" ht="10.5" customHeight="1"/>
    <row r="312" ht="10.5" customHeight="1"/>
    <row r="313" ht="10.5" customHeight="1"/>
    <row r="314" ht="10.5" customHeight="1"/>
    <row r="315" ht="10.5" customHeight="1"/>
    <row r="316" ht="10.5" customHeight="1"/>
    <row r="317" ht="10.5" customHeight="1"/>
    <row r="318" ht="10.5" customHeight="1"/>
    <row r="319" ht="10.5" customHeight="1"/>
    <row r="320" ht="10.5" customHeight="1"/>
    <row r="321" ht="10.5" customHeight="1"/>
    <row r="322" ht="10.5" customHeight="1"/>
    <row r="323" ht="10.5" customHeight="1"/>
    <row r="324" ht="10.5" customHeight="1"/>
    <row r="325" ht="10.5" customHeight="1"/>
    <row r="326" ht="10.5" customHeight="1"/>
    <row r="327" ht="10.5" customHeight="1"/>
    <row r="328" ht="10.5" customHeight="1"/>
    <row r="329" ht="10.5" customHeight="1"/>
    <row r="330" ht="10.5" customHeight="1"/>
    <row r="331" ht="10.5" customHeight="1"/>
    <row r="332" ht="10.5" customHeight="1"/>
    <row r="333" ht="10.5" customHeight="1"/>
    <row r="334" ht="10.5" customHeight="1"/>
    <row r="335" ht="10.5" customHeight="1"/>
    <row r="336" ht="10.5" customHeight="1"/>
    <row r="337" ht="10.5" customHeight="1"/>
    <row r="338" ht="10.5" customHeight="1"/>
    <row r="339" ht="10.5" customHeight="1"/>
    <row r="340" ht="10.5" customHeight="1"/>
    <row r="341" ht="10.5" customHeight="1"/>
  </sheetData>
  <mergeCells count="35">
    <mergeCell ref="A12:B12"/>
    <mergeCell ref="A10:C10"/>
    <mergeCell ref="D10:Y10"/>
    <mergeCell ref="D7:H7"/>
    <mergeCell ref="U7:Y7"/>
    <mergeCell ref="A9:C9"/>
    <mergeCell ref="A7:C7"/>
    <mergeCell ref="R8:T8"/>
    <mergeCell ref="L7:Q7"/>
    <mergeCell ref="U8:Y8"/>
    <mergeCell ref="D8:H8"/>
    <mergeCell ref="R7:T7"/>
    <mergeCell ref="I7:K7"/>
    <mergeCell ref="A5:C5"/>
    <mergeCell ref="I5:K5"/>
    <mergeCell ref="A8:C8"/>
    <mergeCell ref="I8:K8"/>
    <mergeCell ref="I4:K4"/>
    <mergeCell ref="A4:C4"/>
    <mergeCell ref="D4:H4"/>
    <mergeCell ref="I6:K6"/>
    <mergeCell ref="A6:C6"/>
    <mergeCell ref="D5:H5"/>
    <mergeCell ref="L5:Q5"/>
    <mergeCell ref="U6:Y6"/>
    <mergeCell ref="L8:Q8"/>
    <mergeCell ref="D9:Y9"/>
    <mergeCell ref="L4:Q4"/>
    <mergeCell ref="D6:H6"/>
    <mergeCell ref="L6:Q6"/>
    <mergeCell ref="R5:T5"/>
    <mergeCell ref="R4:T4"/>
    <mergeCell ref="U5:Y5"/>
    <mergeCell ref="U4:Y4"/>
    <mergeCell ref="R6:T6"/>
  </mergeCells>
  <printOptions horizontalCentered="1"/>
  <pageMargins left="0.4" right="0.4" top="0.3" bottom="0.5" header="0.3" footer="0.25"/>
  <pageSetup paperSize="9" scale="95" fitToHeight="4" orientation="portrait"/>
  <headerFooter>
    <oddFooter>&amp;L&amp;6 Doc#: FIR-003.5
Effective: 20171109&amp;C&amp;"Arial,Regular"&amp;6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C341"/>
  <sheetViews>
    <sheetView topLeftCell="A42" zoomScale="130" zoomScaleNormal="130" workbookViewId="0">
      <selection activeCell="D7" sqref="D7:H7"/>
    </sheetView>
  </sheetViews>
  <sheetFormatPr defaultColWidth="9.21875" defaultRowHeight="15" customHeight="1"/>
  <cols>
    <col min="1" max="10" width="3.77734375" style="11" customWidth="1"/>
    <col min="11" max="11" width="5.21875" style="11" customWidth="1"/>
    <col min="12" max="25" width="3.77734375" style="11" customWidth="1"/>
    <col min="26" max="26" width="2.77734375" style="35" customWidth="1"/>
    <col min="27" max="27" width="9.21875" style="33" customWidth="1"/>
    <col min="28" max="28" width="9.21875" style="11" customWidth="1"/>
    <col min="29" max="16384" width="9.21875" style="11"/>
  </cols>
  <sheetData>
    <row r="1" spans="1:29" ht="9.75" customHeight="1"/>
    <row r="2" spans="1:29" ht="72.599999999999994" customHeight="1">
      <c r="A2" s="13"/>
      <c r="B2" s="1"/>
      <c r="C2" s="1"/>
      <c r="D2" s="13"/>
      <c r="E2" s="88" t="s">
        <v>0</v>
      </c>
      <c r="F2" s="89"/>
      <c r="G2" s="89"/>
      <c r="H2" s="90"/>
      <c r="I2" s="89"/>
      <c r="J2" s="89"/>
      <c r="K2" s="89"/>
      <c r="L2" s="89"/>
      <c r="M2" s="89"/>
      <c r="N2" s="1"/>
      <c r="O2" s="1"/>
      <c r="P2" s="1"/>
      <c r="Q2" s="1"/>
      <c r="R2" s="1"/>
      <c r="S2" s="1"/>
      <c r="T2" s="1"/>
      <c r="U2" s="13"/>
      <c r="V2" s="13"/>
      <c r="W2" s="13"/>
      <c r="X2" s="13"/>
      <c r="Y2" s="13"/>
    </row>
    <row r="3" spans="1:29" ht="8.1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4"/>
      <c r="O3" s="13"/>
      <c r="P3" s="13"/>
      <c r="Q3" s="13"/>
      <c r="R3" s="14"/>
      <c r="S3" s="14"/>
      <c r="T3" s="14"/>
      <c r="U3" s="13"/>
      <c r="V3" s="13"/>
      <c r="W3" s="13"/>
      <c r="X3" s="13"/>
      <c r="Y3" s="13"/>
    </row>
    <row r="4" spans="1:29" ht="12" customHeight="1">
      <c r="A4" s="168" t="s">
        <v>1</v>
      </c>
      <c r="B4" s="118"/>
      <c r="C4" s="118"/>
      <c r="D4" s="229" t="str">
        <f>IF('FRI report'!D4:H4="","",'FRI report'!D4:H4)</f>
        <v>Global Tech</v>
      </c>
      <c r="E4" s="184"/>
      <c r="F4" s="184"/>
      <c r="G4" s="184"/>
      <c r="H4" s="184"/>
      <c r="I4" s="117" t="s">
        <v>3</v>
      </c>
      <c r="J4" s="118"/>
      <c r="K4" s="118"/>
      <c r="L4" s="229" t="str">
        <f>IF('FRI report'!L4:Q4="","",'FRI report'!L4:Q4)</f>
        <v>Alpha Labs</v>
      </c>
      <c r="M4" s="184"/>
      <c r="N4" s="184"/>
      <c r="O4" s="184"/>
      <c r="P4" s="184"/>
      <c r="Q4" s="184"/>
      <c r="R4" s="168" t="s">
        <v>5</v>
      </c>
      <c r="S4" s="118"/>
      <c r="T4" s="118"/>
      <c r="U4" s="229" t="str">
        <f>IF('FRI report'!U4:Y4="","",'FRI report'!U4:Y4)</f>
        <v>PO-XX328</v>
      </c>
      <c r="V4" s="184"/>
      <c r="W4" s="184"/>
      <c r="X4" s="184"/>
      <c r="Y4" s="184"/>
      <c r="Z4" s="35" t="s">
        <v>194</v>
      </c>
      <c r="AA4" s="34" t="s">
        <v>195</v>
      </c>
      <c r="AB4" s="12"/>
      <c r="AC4" s="12"/>
    </row>
    <row r="5" spans="1:29" ht="12" customHeight="1">
      <c r="A5" s="117" t="s">
        <v>1227</v>
      </c>
      <c r="B5" s="118"/>
      <c r="C5" s="118"/>
      <c r="D5" s="229" t="str">
        <f>IF('FRI report'!D5:H5="","",'FRI report'!D5:H5)</f>
        <v>TX</v>
      </c>
      <c r="E5" s="184"/>
      <c r="F5" s="184"/>
      <c r="G5" s="184"/>
      <c r="H5" s="184"/>
      <c r="I5" s="168" t="s">
        <v>8</v>
      </c>
      <c r="J5" s="118"/>
      <c r="K5" s="118"/>
      <c r="L5" s="229" t="str">
        <f>IF('FRI report'!L5:Q5="","",'FRI report'!L5:Q5)</f>
        <v>Sam Davis</v>
      </c>
      <c r="M5" s="184"/>
      <c r="N5" s="184"/>
      <c r="O5" s="184"/>
      <c r="P5" s="184"/>
      <c r="Q5" s="184"/>
      <c r="R5" s="168" t="s">
        <v>1228</v>
      </c>
      <c r="S5" s="118"/>
      <c r="T5" s="118"/>
      <c r="U5" s="229" t="str">
        <f>IF('FRI report'!U5:Y5="","",'FRI report'!U5:Y5)</f>
        <v>21668732</v>
      </c>
      <c r="V5" s="184"/>
      <c r="W5" s="184"/>
      <c r="X5" s="184"/>
      <c r="Y5" s="184"/>
      <c r="AA5" s="34"/>
      <c r="AB5" s="12"/>
      <c r="AC5" s="12"/>
    </row>
    <row r="6" spans="1:29" ht="12" customHeight="1">
      <c r="A6" s="117" t="s">
        <v>11</v>
      </c>
      <c r="B6" s="118"/>
      <c r="C6" s="118"/>
      <c r="D6" s="229" t="str">
        <f>IF('FRI report'!D6:H6="","",'FRI report'!D6:H6)</f>
        <v>Avery Wilson</v>
      </c>
      <c r="E6" s="184"/>
      <c r="F6" s="184"/>
      <c r="G6" s="184"/>
      <c r="H6" s="184"/>
      <c r="I6" s="168" t="s">
        <v>13</v>
      </c>
      <c r="J6" s="118"/>
      <c r="K6" s="118"/>
      <c r="L6" s="229" t="str">
        <f>IF('FRI report'!L6:Q6="","",'FRI report'!L6:Q6)</f>
        <v>Greenfield county, Metro city</v>
      </c>
      <c r="M6" s="184"/>
      <c r="N6" s="184"/>
      <c r="O6" s="184"/>
      <c r="P6" s="184"/>
      <c r="Q6" s="184"/>
      <c r="R6" s="168" t="s">
        <v>15</v>
      </c>
      <c r="S6" s="118"/>
      <c r="T6" s="118"/>
      <c r="U6" s="230" t="str">
        <f>IF('FRI report'!U6:Y6="","",'FRI report'!U6:Y6)</f>
        <v>N/A</v>
      </c>
      <c r="V6" s="184"/>
      <c r="W6" s="184"/>
      <c r="X6" s="184"/>
      <c r="Y6" s="184"/>
    </row>
    <row r="7" spans="1:29" ht="12" customHeight="1">
      <c r="A7" s="168" t="s">
        <v>17</v>
      </c>
      <c r="B7" s="118"/>
      <c r="C7" s="118"/>
      <c r="D7" s="229" t="str">
        <f>IF('FRI report'!D7:H7="","",'FRI report'!D7:H7)</f>
        <v>XXBFNO6</v>
      </c>
      <c r="E7" s="184"/>
      <c r="F7" s="184"/>
      <c r="G7" s="184"/>
      <c r="H7" s="184"/>
      <c r="I7" s="168" t="s">
        <v>19</v>
      </c>
      <c r="J7" s="118"/>
      <c r="K7" s="118"/>
      <c r="L7" s="232">
        <f>IF('FRI report'!L7:Q7="","",'FRI report'!L7:Q7)</f>
        <v>46046</v>
      </c>
      <c r="M7" s="120"/>
      <c r="N7" s="120"/>
      <c r="O7" s="120"/>
      <c r="P7" s="120"/>
      <c r="Q7" s="120"/>
      <c r="R7" s="168" t="s">
        <v>20</v>
      </c>
      <c r="S7" s="118"/>
      <c r="T7" s="118"/>
      <c r="U7" s="230" t="str">
        <f>IF('FRI report'!U7:Y7="","",'FRI report'!U7:Y7)</f>
        <v>88907PCS</v>
      </c>
      <c r="V7" s="184"/>
      <c r="W7" s="184"/>
      <c r="X7" s="184"/>
      <c r="Y7" s="184"/>
    </row>
    <row r="8" spans="1:29" ht="12" customHeight="1">
      <c r="A8" s="168"/>
      <c r="B8" s="118"/>
      <c r="C8" s="118"/>
      <c r="D8" s="233"/>
      <c r="E8" s="129"/>
      <c r="F8" s="129"/>
      <c r="G8" s="129"/>
      <c r="H8" s="129"/>
      <c r="I8" s="117"/>
      <c r="J8" s="118"/>
      <c r="K8" s="118"/>
      <c r="L8" s="128"/>
      <c r="M8" s="129"/>
      <c r="N8" s="129"/>
      <c r="O8" s="129"/>
      <c r="P8" s="129"/>
      <c r="Q8" s="129"/>
      <c r="R8" s="168" t="s">
        <v>24</v>
      </c>
      <c r="S8" s="118"/>
      <c r="T8" s="118"/>
      <c r="U8" s="229" t="str">
        <f>IF('FRI report'!U8:Y8="","",'FRI report'!U8:Y8)</f>
        <v>9928-539898(1st lot)</v>
      </c>
      <c r="V8" s="184"/>
      <c r="W8" s="184"/>
      <c r="X8" s="184"/>
      <c r="Y8" s="184"/>
      <c r="AA8" s="34"/>
      <c r="AB8" s="12"/>
      <c r="AC8" s="12"/>
    </row>
    <row r="9" spans="1:29" ht="12" customHeight="1">
      <c r="A9" s="168" t="s">
        <v>26</v>
      </c>
      <c r="B9" s="118"/>
      <c r="C9" s="118"/>
      <c r="D9" s="229" t="str">
        <f>IF('FRI report'!D9:Y9="","",'FRI report'!D9:Y9)</f>
        <v>XX-ABC-68878-C</v>
      </c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</row>
    <row r="10" spans="1:29" ht="12" customHeight="1">
      <c r="A10" s="168" t="s">
        <v>28</v>
      </c>
      <c r="B10" s="118"/>
      <c r="C10" s="118"/>
      <c r="D10" s="229" t="str">
        <f>IF('FRI report'!D10:Y10="","",'FRI report'!D10:Y10)</f>
        <v>Standard Component Assembly with Seal Insert</v>
      </c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</row>
    <row r="11" spans="1:29" ht="5.0999999999999996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5"/>
      <c r="P11" s="13"/>
      <c r="Q11" s="15"/>
      <c r="R11" s="13"/>
      <c r="S11" s="15"/>
      <c r="T11" s="15"/>
      <c r="U11" s="13"/>
      <c r="V11" s="13"/>
      <c r="W11" s="13"/>
      <c r="X11" s="13"/>
      <c r="Y11" s="13"/>
    </row>
    <row r="12" spans="1:29" ht="10.5" customHeight="1">
      <c r="A12" s="231" t="s">
        <v>196</v>
      </c>
      <c r="B12" s="118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9" ht="10.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9" ht="10.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9" ht="10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1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9" ht="10.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10.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0.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0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1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0.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0.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0.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0.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0.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0.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0.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0.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0.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0.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0.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0.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0.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0.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0.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0.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0.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0.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0.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0.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0.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0.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0.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0.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0.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0.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0.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0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0.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0.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0.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0.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0.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0.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10.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0.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10.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0.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0.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0.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0.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0.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0.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0.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0.5" customHeight="1"/>
    <row r="65" ht="10.5" customHeight="1"/>
    <row r="66" ht="10.5" customHeight="1"/>
    <row r="67" ht="10.5" customHeight="1"/>
    <row r="68" ht="10.5" customHeight="1"/>
    <row r="69" ht="10.5" customHeight="1"/>
    <row r="70" ht="10.5" customHeight="1"/>
    <row r="71" ht="10.5" customHeight="1"/>
    <row r="72" ht="10.5" customHeight="1"/>
    <row r="73" ht="10.5" customHeight="1"/>
    <row r="74" ht="10.5" customHeight="1"/>
    <row r="75" ht="10.5" customHeight="1"/>
    <row r="76" ht="10.5" customHeight="1"/>
    <row r="77" ht="10.5" customHeight="1"/>
    <row r="78" ht="10.5" customHeight="1"/>
    <row r="79" ht="10.5" customHeight="1"/>
    <row r="80" ht="10.5" customHeight="1"/>
    <row r="81" ht="10.5" customHeight="1"/>
    <row r="82" ht="10.5" customHeight="1"/>
    <row r="83" ht="10.5" customHeight="1"/>
    <row r="84" ht="10.5" customHeight="1"/>
    <row r="85" ht="10.5" customHeight="1"/>
    <row r="86" ht="10.5" customHeight="1"/>
    <row r="87" ht="10.5" customHeight="1"/>
    <row r="88" ht="10.5" customHeight="1"/>
    <row r="89" ht="10.5" customHeight="1"/>
    <row r="90" ht="10.5" customHeight="1"/>
    <row r="91" ht="10.5" customHeight="1"/>
    <row r="92" ht="10.5" customHeight="1"/>
    <row r="93" ht="10.5" customHeight="1"/>
    <row r="94" ht="10.5" customHeight="1"/>
    <row r="95" ht="10.5" customHeight="1"/>
    <row r="96" ht="10.5" customHeight="1"/>
    <row r="97" ht="10.5" customHeight="1"/>
    <row r="98" ht="10.5" customHeight="1"/>
    <row r="99" ht="10.5" customHeight="1"/>
    <row r="100" ht="10.5" customHeight="1"/>
    <row r="101" ht="10.5" customHeight="1"/>
    <row r="102" ht="10.5" customHeight="1"/>
    <row r="103" ht="10.5" customHeight="1"/>
    <row r="104" ht="10.5" customHeight="1"/>
    <row r="105" ht="10.5" customHeight="1"/>
    <row r="106" ht="10.5" customHeight="1"/>
    <row r="107" ht="10.5" customHeight="1"/>
    <row r="108" ht="10.5" customHeight="1"/>
    <row r="109" ht="10.5" customHeight="1"/>
    <row r="110" ht="10.5" customHeight="1"/>
    <row r="111" ht="10.5" customHeight="1"/>
    <row r="112" ht="10.5" customHeight="1"/>
    <row r="113" ht="10.5" customHeight="1"/>
    <row r="114" ht="10.5" customHeight="1"/>
    <row r="115" ht="10.5" customHeight="1"/>
    <row r="116" ht="10.5" customHeight="1"/>
    <row r="117" ht="10.5" customHeight="1"/>
    <row r="118" ht="10.5" customHeight="1"/>
    <row r="119" ht="10.5" customHeight="1"/>
    <row r="120" ht="10.5" customHeight="1"/>
    <row r="121" ht="10.5" customHeight="1"/>
    <row r="122" ht="10.5" customHeight="1"/>
    <row r="123" ht="10.5" customHeight="1"/>
    <row r="124" ht="10.5" customHeight="1"/>
    <row r="125" ht="10.5" customHeight="1"/>
    <row r="126" ht="10.5" customHeight="1"/>
    <row r="127" ht="10.5" customHeight="1"/>
    <row r="128" ht="10.5" customHeight="1"/>
    <row r="129" ht="10.5" customHeight="1"/>
    <row r="130" ht="10.5" customHeight="1"/>
    <row r="131" ht="10.5" customHeight="1"/>
    <row r="132" ht="10.5" customHeight="1"/>
    <row r="133" ht="10.5" customHeight="1"/>
    <row r="134" ht="10.5" customHeight="1"/>
    <row r="135" ht="10.5" customHeight="1"/>
    <row r="136" ht="10.5" customHeight="1"/>
    <row r="137" ht="10.5" customHeight="1"/>
    <row r="138" ht="10.5" customHeight="1"/>
    <row r="139" ht="10.5" customHeight="1"/>
    <row r="140" ht="10.5" customHeight="1"/>
    <row r="141" ht="10.5" customHeight="1"/>
    <row r="142" ht="10.5" customHeight="1"/>
    <row r="143" ht="10.5" customHeight="1"/>
    <row r="144" ht="10.5" customHeight="1"/>
    <row r="145" ht="10.5" customHeight="1"/>
    <row r="146" ht="10.5" customHeight="1"/>
    <row r="147" ht="10.5" customHeight="1"/>
    <row r="148" ht="10.5" customHeight="1"/>
    <row r="149" ht="10.5" customHeight="1"/>
    <row r="150" ht="10.5" customHeight="1"/>
    <row r="151" ht="10.5" customHeight="1"/>
    <row r="152" ht="10.5" customHeight="1"/>
    <row r="153" ht="10.5" customHeight="1"/>
    <row r="154" ht="10.5" customHeight="1"/>
    <row r="155" ht="10.5" customHeight="1"/>
    <row r="156" ht="10.5" customHeight="1"/>
    <row r="157" ht="10.5" customHeight="1"/>
    <row r="158" ht="10.5" customHeight="1"/>
    <row r="159" ht="10.5" customHeight="1"/>
    <row r="160" ht="10.5" customHeight="1"/>
    <row r="161" ht="10.5" customHeight="1"/>
    <row r="162" ht="10.5" customHeight="1"/>
    <row r="163" ht="10.5" customHeight="1"/>
    <row r="164" ht="10.5" customHeight="1"/>
    <row r="165" ht="10.5" customHeight="1"/>
    <row r="166" ht="10.5" customHeight="1"/>
    <row r="167" ht="10.5" customHeight="1"/>
    <row r="168" ht="10.5" customHeight="1"/>
    <row r="169" ht="10.5" customHeight="1"/>
    <row r="170" ht="10.5" customHeight="1"/>
    <row r="171" ht="10.5" customHeight="1"/>
    <row r="172" ht="10.5" customHeight="1"/>
    <row r="173" ht="10.5" customHeight="1"/>
    <row r="174" ht="10.5" customHeight="1"/>
    <row r="175" ht="10.5" customHeight="1"/>
    <row r="176" ht="10.5" customHeight="1"/>
    <row r="177" ht="10.5" customHeight="1"/>
    <row r="178" ht="10.5" customHeight="1"/>
    <row r="179" ht="10.5" customHeight="1"/>
    <row r="180" ht="10.5" customHeight="1"/>
    <row r="181" ht="10.5" customHeight="1"/>
    <row r="182" ht="10.5" customHeight="1"/>
    <row r="183" ht="10.5" customHeight="1"/>
    <row r="184" ht="10.5" customHeight="1"/>
    <row r="185" ht="10.5" customHeight="1"/>
    <row r="186" ht="10.5" customHeight="1"/>
    <row r="187" ht="10.5" customHeight="1"/>
    <row r="188" ht="10.5" customHeight="1"/>
    <row r="189" ht="10.5" customHeight="1"/>
    <row r="190" ht="10.5" customHeight="1"/>
    <row r="191" ht="10.5" customHeight="1"/>
    <row r="192" ht="10.5" customHeight="1"/>
    <row r="193" ht="10.5" customHeight="1"/>
    <row r="194" ht="10.5" customHeight="1"/>
    <row r="195" ht="10.5" customHeight="1"/>
    <row r="196" ht="10.5" customHeight="1"/>
    <row r="197" ht="10.5" customHeight="1"/>
    <row r="198" ht="10.5" customHeight="1"/>
    <row r="199" ht="10.5" customHeight="1"/>
    <row r="200" ht="10.5" customHeight="1"/>
    <row r="201" ht="10.5" customHeight="1"/>
    <row r="202" ht="10.5" customHeight="1"/>
    <row r="203" ht="10.5" customHeight="1"/>
    <row r="204" ht="10.5" customHeight="1"/>
    <row r="205" ht="10.5" customHeight="1"/>
    <row r="206" ht="10.5" customHeight="1"/>
    <row r="207" ht="10.5" customHeight="1"/>
    <row r="208" ht="10.5" customHeight="1"/>
    <row r="209" ht="10.5" customHeight="1"/>
    <row r="210" ht="10.5" customHeight="1"/>
    <row r="211" ht="10.5" customHeight="1"/>
    <row r="212" ht="10.5" customHeight="1"/>
    <row r="213" ht="10.5" customHeight="1"/>
    <row r="214" ht="10.5" customHeight="1"/>
    <row r="215" ht="10.5" customHeight="1"/>
    <row r="216" ht="10.5" customHeight="1"/>
    <row r="217" ht="10.5" customHeight="1"/>
    <row r="218" ht="10.5" customHeight="1"/>
    <row r="219" ht="10.5" customHeight="1"/>
    <row r="220" ht="10.5" customHeight="1"/>
    <row r="221" ht="10.5" customHeight="1"/>
    <row r="222" ht="10.5" customHeight="1"/>
    <row r="223" ht="10.5" customHeight="1"/>
    <row r="224" ht="10.5" customHeight="1"/>
    <row r="225" ht="10.5" customHeight="1"/>
    <row r="226" ht="10.5" customHeight="1"/>
    <row r="227" ht="10.5" customHeight="1"/>
    <row r="228" ht="10.5" customHeight="1"/>
    <row r="229" ht="10.5" customHeight="1"/>
    <row r="230" ht="10.5" customHeight="1"/>
    <row r="231" ht="10.5" customHeight="1"/>
    <row r="232" ht="10.5" customHeight="1"/>
    <row r="233" ht="10.5" customHeight="1"/>
    <row r="234" ht="10.5" customHeight="1"/>
    <row r="235" ht="10.5" customHeight="1"/>
    <row r="236" ht="10.5" customHeight="1"/>
    <row r="237" ht="10.5" customHeight="1"/>
    <row r="238" ht="10.5" customHeight="1"/>
    <row r="239" ht="10.5" customHeight="1"/>
    <row r="240" ht="10.5" customHeight="1"/>
    <row r="241" ht="10.5" customHeight="1"/>
    <row r="242" ht="10.5" customHeight="1"/>
    <row r="243" ht="10.5" customHeight="1"/>
    <row r="244" ht="10.5" customHeight="1"/>
    <row r="245" ht="10.5" customHeight="1"/>
    <row r="246" ht="10.5" customHeight="1"/>
    <row r="247" ht="10.5" customHeight="1"/>
    <row r="248" ht="10.5" customHeight="1"/>
    <row r="249" ht="10.5" customHeight="1"/>
    <row r="250" ht="10.5" customHeight="1"/>
    <row r="251" ht="10.5" customHeight="1"/>
    <row r="252" ht="10.5" customHeight="1"/>
    <row r="253" ht="10.5" customHeight="1"/>
    <row r="254" ht="10.5" customHeight="1"/>
    <row r="255" ht="10.5" customHeight="1"/>
    <row r="256" ht="10.5" customHeight="1"/>
    <row r="257" ht="10.5" customHeight="1"/>
    <row r="258" ht="10.5" customHeight="1"/>
    <row r="259" ht="10.5" customHeight="1"/>
    <row r="260" ht="10.5" customHeight="1"/>
    <row r="261" ht="10.5" customHeight="1"/>
    <row r="262" ht="10.5" customHeight="1"/>
    <row r="263" ht="10.5" customHeight="1"/>
    <row r="264" ht="10.5" customHeight="1"/>
    <row r="265" ht="10.5" customHeight="1"/>
    <row r="266" ht="10.5" customHeight="1"/>
    <row r="267" ht="10.5" customHeight="1"/>
    <row r="268" ht="10.5" customHeight="1"/>
    <row r="269" ht="10.5" customHeight="1"/>
    <row r="270" ht="10.5" customHeight="1"/>
    <row r="271" ht="10.5" customHeight="1"/>
    <row r="272" ht="10.5" customHeight="1"/>
    <row r="273" ht="10.5" customHeight="1"/>
    <row r="274" ht="10.5" customHeight="1"/>
    <row r="275" ht="10.5" customHeight="1"/>
    <row r="276" ht="10.5" customHeight="1"/>
    <row r="277" ht="10.5" customHeight="1"/>
    <row r="278" ht="10.5" customHeight="1"/>
    <row r="279" ht="10.5" customHeight="1"/>
    <row r="280" ht="10.5" customHeight="1"/>
    <row r="281" ht="10.5" customHeight="1"/>
    <row r="282" ht="10.5" customHeight="1"/>
    <row r="283" ht="10.5" customHeight="1"/>
    <row r="284" ht="10.5" customHeight="1"/>
    <row r="285" ht="10.5" customHeight="1"/>
    <row r="286" ht="10.5" customHeight="1"/>
    <row r="287" ht="10.5" customHeight="1"/>
    <row r="288" ht="10.5" customHeight="1"/>
    <row r="289" ht="10.5" customHeight="1"/>
    <row r="290" ht="10.5" customHeight="1"/>
    <row r="291" ht="10.5" customHeight="1"/>
    <row r="292" ht="10.5" customHeight="1"/>
    <row r="293" ht="10.5" customHeight="1"/>
    <row r="294" ht="10.5" customHeight="1"/>
    <row r="295" ht="10.5" customHeight="1"/>
    <row r="296" ht="10.5" customHeight="1"/>
    <row r="297" ht="10.5" customHeight="1"/>
    <row r="298" ht="10.5" customHeight="1"/>
    <row r="299" ht="10.5" customHeight="1"/>
    <row r="300" ht="10.5" customHeight="1"/>
    <row r="301" ht="10.5" customHeight="1"/>
    <row r="302" ht="10.5" customHeight="1"/>
    <row r="303" ht="10.5" customHeight="1"/>
    <row r="304" ht="10.5" customHeight="1"/>
    <row r="305" ht="10.5" customHeight="1"/>
    <row r="306" ht="10.5" customHeight="1"/>
    <row r="307" ht="10.5" customHeight="1"/>
    <row r="308" ht="10.5" customHeight="1"/>
    <row r="309" ht="10.5" customHeight="1"/>
    <row r="310" ht="10.5" customHeight="1"/>
    <row r="311" ht="10.5" customHeight="1"/>
    <row r="312" ht="10.5" customHeight="1"/>
    <row r="313" ht="10.5" customHeight="1"/>
    <row r="314" ht="10.5" customHeight="1"/>
    <row r="315" ht="10.5" customHeight="1"/>
    <row r="316" ht="10.5" customHeight="1"/>
    <row r="317" ht="10.5" customHeight="1"/>
    <row r="318" ht="10.5" customHeight="1"/>
    <row r="319" ht="10.5" customHeight="1"/>
    <row r="320" ht="10.5" customHeight="1"/>
    <row r="321" ht="10.5" customHeight="1"/>
    <row r="322" ht="10.5" customHeight="1"/>
    <row r="323" ht="10.5" customHeight="1"/>
    <row r="324" ht="10.5" customHeight="1"/>
    <row r="325" ht="10.5" customHeight="1"/>
    <row r="326" ht="10.5" customHeight="1"/>
    <row r="327" ht="10.5" customHeight="1"/>
    <row r="328" ht="10.5" customHeight="1"/>
    <row r="329" ht="10.5" customHeight="1"/>
    <row r="330" ht="10.5" customHeight="1"/>
    <row r="331" ht="10.5" customHeight="1"/>
    <row r="332" ht="10.5" customHeight="1"/>
    <row r="333" ht="10.5" customHeight="1"/>
    <row r="334" ht="10.5" customHeight="1"/>
    <row r="335" ht="10.5" customHeight="1"/>
    <row r="336" ht="10.5" customHeight="1"/>
    <row r="337" ht="10.5" customHeight="1"/>
    <row r="338" ht="10.5" customHeight="1"/>
    <row r="339" ht="10.5" customHeight="1"/>
    <row r="340" ht="10.5" customHeight="1"/>
    <row r="341" ht="10.5" customHeight="1"/>
  </sheetData>
  <mergeCells count="35">
    <mergeCell ref="A12:B12"/>
    <mergeCell ref="A10:C10"/>
    <mergeCell ref="D10:Y10"/>
    <mergeCell ref="D7:H7"/>
    <mergeCell ref="U7:Y7"/>
    <mergeCell ref="A9:C9"/>
    <mergeCell ref="R8:T8"/>
    <mergeCell ref="L7:Q7"/>
    <mergeCell ref="U8:Y8"/>
    <mergeCell ref="D8:H8"/>
    <mergeCell ref="R7:T7"/>
    <mergeCell ref="A7:C7"/>
    <mergeCell ref="I7:K7"/>
    <mergeCell ref="A5:C5"/>
    <mergeCell ref="A8:C8"/>
    <mergeCell ref="I5:K5"/>
    <mergeCell ref="I8:K8"/>
    <mergeCell ref="I4:K4"/>
    <mergeCell ref="A4:C4"/>
    <mergeCell ref="D4:H4"/>
    <mergeCell ref="I6:K6"/>
    <mergeCell ref="A6:C6"/>
    <mergeCell ref="D5:H5"/>
    <mergeCell ref="L5:Q5"/>
    <mergeCell ref="U6:Y6"/>
    <mergeCell ref="D9:Y9"/>
    <mergeCell ref="L8:Q8"/>
    <mergeCell ref="L4:Q4"/>
    <mergeCell ref="D6:H6"/>
    <mergeCell ref="L6:Q6"/>
    <mergeCell ref="R5:T5"/>
    <mergeCell ref="R4:T4"/>
    <mergeCell ref="U5:Y5"/>
    <mergeCell ref="U4:Y4"/>
    <mergeCell ref="R6:T6"/>
  </mergeCells>
  <printOptions horizontalCentered="1"/>
  <pageMargins left="0.4" right="0.4" top="0.3" bottom="0.5" header="0.3" footer="0.25"/>
  <pageSetup paperSize="9" scale="95" fitToHeight="4" orientation="portrait"/>
  <headerFooter>
    <oddFooter>&amp;L&amp;6 Doc#: FIR-003.5
Effective: 20171109&amp;C&amp;"Arial,Regular"&amp;6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C341"/>
  <sheetViews>
    <sheetView topLeftCell="A8" zoomScale="130" zoomScaleNormal="130" workbookViewId="0">
      <selection activeCell="D7" sqref="D7:H7"/>
    </sheetView>
  </sheetViews>
  <sheetFormatPr defaultColWidth="9.21875" defaultRowHeight="15" customHeight="1"/>
  <cols>
    <col min="1" max="10" width="3.77734375" style="11" customWidth="1"/>
    <col min="11" max="11" width="5.21875" style="11" customWidth="1"/>
    <col min="12" max="25" width="3.77734375" style="11" customWidth="1"/>
    <col min="26" max="26" width="2.77734375" style="35" customWidth="1"/>
    <col min="27" max="27" width="9.21875" style="33" customWidth="1"/>
    <col min="28" max="28" width="9.21875" style="11" customWidth="1"/>
    <col min="29" max="16384" width="9.21875" style="11"/>
  </cols>
  <sheetData>
    <row r="1" spans="1:29" ht="9.75" customHeight="1"/>
    <row r="2" spans="1:29" ht="72.599999999999994" customHeight="1">
      <c r="A2" s="13"/>
      <c r="B2" s="1"/>
      <c r="C2" s="1"/>
      <c r="D2" s="13"/>
      <c r="E2" s="88" t="s">
        <v>0</v>
      </c>
      <c r="F2" s="89"/>
      <c r="G2" s="89"/>
      <c r="H2" s="90"/>
      <c r="I2" s="89"/>
      <c r="J2" s="89"/>
      <c r="K2" s="89"/>
      <c r="L2" s="89"/>
      <c r="M2" s="89"/>
      <c r="N2" s="1"/>
      <c r="O2" s="1"/>
      <c r="P2" s="1"/>
      <c r="Q2" s="1"/>
      <c r="R2" s="1"/>
      <c r="S2" s="1"/>
      <c r="T2" s="1"/>
      <c r="U2" s="13"/>
      <c r="V2" s="13"/>
      <c r="W2" s="13"/>
      <c r="X2" s="13"/>
      <c r="Y2" s="13"/>
    </row>
    <row r="3" spans="1:29" ht="8.1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4"/>
      <c r="O3" s="13"/>
      <c r="P3" s="13"/>
      <c r="Q3" s="13"/>
      <c r="R3" s="14"/>
      <c r="S3" s="14"/>
      <c r="T3" s="14"/>
      <c r="U3" s="13"/>
      <c r="V3" s="13"/>
      <c r="W3" s="13"/>
      <c r="X3" s="13"/>
      <c r="Y3" s="13"/>
    </row>
    <row r="4" spans="1:29" ht="12" customHeight="1">
      <c r="A4" s="168" t="s">
        <v>1</v>
      </c>
      <c r="B4" s="118"/>
      <c r="C4" s="118"/>
      <c r="D4" s="229" t="str">
        <f>IF('FRI report'!D4:H4="","",'FRI report'!D4:H4)</f>
        <v>Global Tech</v>
      </c>
      <c r="E4" s="184"/>
      <c r="F4" s="184"/>
      <c r="G4" s="184"/>
      <c r="H4" s="184"/>
      <c r="I4" s="117" t="s">
        <v>3</v>
      </c>
      <c r="J4" s="118"/>
      <c r="K4" s="118"/>
      <c r="L4" s="229" t="str">
        <f>IF('FRI report'!L4:Q4="","",'FRI report'!L4:Q4)</f>
        <v>Alpha Labs</v>
      </c>
      <c r="M4" s="184"/>
      <c r="N4" s="184"/>
      <c r="O4" s="184"/>
      <c r="P4" s="184"/>
      <c r="Q4" s="184"/>
      <c r="R4" s="168" t="s">
        <v>5</v>
      </c>
      <c r="S4" s="118"/>
      <c r="T4" s="118"/>
      <c r="U4" s="229" t="str">
        <f>IF('FRI report'!U4:Y4="","",'FRI report'!U4:Y4)</f>
        <v>PO-XX328</v>
      </c>
      <c r="V4" s="184"/>
      <c r="W4" s="184"/>
      <c r="X4" s="184"/>
      <c r="Y4" s="184"/>
      <c r="Z4" s="35" t="s">
        <v>194</v>
      </c>
      <c r="AA4" s="34" t="s">
        <v>195</v>
      </c>
      <c r="AB4" s="12"/>
      <c r="AC4" s="12"/>
    </row>
    <row r="5" spans="1:29" ht="12" customHeight="1">
      <c r="A5" s="117" t="s">
        <v>1227</v>
      </c>
      <c r="B5" s="118"/>
      <c r="C5" s="118"/>
      <c r="D5" s="229" t="str">
        <f>IF('FRI report'!D5:H5="","",'FRI report'!D5:H5)</f>
        <v>TX</v>
      </c>
      <c r="E5" s="184"/>
      <c r="F5" s="184"/>
      <c r="G5" s="184"/>
      <c r="H5" s="184"/>
      <c r="I5" s="168" t="s">
        <v>8</v>
      </c>
      <c r="J5" s="118"/>
      <c r="K5" s="118"/>
      <c r="L5" s="229" t="str">
        <f>IF('FRI report'!L5:Q5="","",'FRI report'!L5:Q5)</f>
        <v>Sam Davis</v>
      </c>
      <c r="M5" s="184"/>
      <c r="N5" s="184"/>
      <c r="O5" s="184"/>
      <c r="P5" s="184"/>
      <c r="Q5" s="184"/>
      <c r="R5" s="168" t="s">
        <v>1228</v>
      </c>
      <c r="S5" s="118"/>
      <c r="T5" s="118"/>
      <c r="U5" s="229" t="str">
        <f>IF('FRI report'!U5:Y5="","",'FRI report'!U5:Y5)</f>
        <v>21668732</v>
      </c>
      <c r="V5" s="184"/>
      <c r="W5" s="184"/>
      <c r="X5" s="184"/>
      <c r="Y5" s="184"/>
      <c r="AA5" s="34"/>
      <c r="AB5" s="12"/>
      <c r="AC5" s="12"/>
    </row>
    <row r="6" spans="1:29" ht="12" customHeight="1">
      <c r="A6" s="117" t="s">
        <v>11</v>
      </c>
      <c r="B6" s="118"/>
      <c r="C6" s="118"/>
      <c r="D6" s="229" t="str">
        <f>IF('FRI report'!D6:H6="","",'FRI report'!D6:H6)</f>
        <v>Avery Wilson</v>
      </c>
      <c r="E6" s="184"/>
      <c r="F6" s="184"/>
      <c r="G6" s="184"/>
      <c r="H6" s="184"/>
      <c r="I6" s="168" t="s">
        <v>13</v>
      </c>
      <c r="J6" s="118"/>
      <c r="K6" s="118"/>
      <c r="L6" s="229" t="str">
        <f>IF('FRI report'!L6:Q6="","",'FRI report'!L6:Q6)</f>
        <v>Greenfield county, Metro city</v>
      </c>
      <c r="M6" s="184"/>
      <c r="N6" s="184"/>
      <c r="O6" s="184"/>
      <c r="P6" s="184"/>
      <c r="Q6" s="184"/>
      <c r="R6" s="168" t="s">
        <v>15</v>
      </c>
      <c r="S6" s="118"/>
      <c r="T6" s="118"/>
      <c r="U6" s="230" t="str">
        <f>IF('FRI report'!U6:Y6="","",'FRI report'!U6:Y6)</f>
        <v>N/A</v>
      </c>
      <c r="V6" s="184"/>
      <c r="W6" s="184"/>
      <c r="X6" s="184"/>
      <c r="Y6" s="184"/>
    </row>
    <row r="7" spans="1:29" ht="12" customHeight="1">
      <c r="A7" s="168" t="s">
        <v>17</v>
      </c>
      <c r="B7" s="118"/>
      <c r="C7" s="118"/>
      <c r="D7" s="229" t="str">
        <f>IF('FRI report'!D7:H7="","",'FRI report'!D7:H7)</f>
        <v>XXBFNO6</v>
      </c>
      <c r="E7" s="184"/>
      <c r="F7" s="184"/>
      <c r="G7" s="184"/>
      <c r="H7" s="184"/>
      <c r="I7" s="168" t="s">
        <v>19</v>
      </c>
      <c r="J7" s="118"/>
      <c r="K7" s="118"/>
      <c r="L7" s="232">
        <f>IF('FRI report'!L7:Q7="","",'FRI report'!L7:Q7)</f>
        <v>46046</v>
      </c>
      <c r="M7" s="120"/>
      <c r="N7" s="120"/>
      <c r="O7" s="120"/>
      <c r="P7" s="120"/>
      <c r="Q7" s="120"/>
      <c r="R7" s="168" t="s">
        <v>20</v>
      </c>
      <c r="S7" s="118"/>
      <c r="T7" s="118"/>
      <c r="U7" s="230" t="str">
        <f>IF('FRI report'!U7:Y7="","",'FRI report'!U7:Y7)</f>
        <v>88907PCS</v>
      </c>
      <c r="V7" s="184"/>
      <c r="W7" s="184"/>
      <c r="X7" s="184"/>
      <c r="Y7" s="184"/>
    </row>
    <row r="8" spans="1:29" ht="12" customHeight="1">
      <c r="A8" s="168"/>
      <c r="B8" s="118"/>
      <c r="C8" s="118"/>
      <c r="D8" s="233"/>
      <c r="E8" s="129"/>
      <c r="F8" s="129"/>
      <c r="G8" s="129"/>
      <c r="H8" s="129"/>
      <c r="I8" s="117"/>
      <c r="J8" s="118"/>
      <c r="K8" s="118"/>
      <c r="L8" s="128"/>
      <c r="M8" s="129"/>
      <c r="N8" s="129"/>
      <c r="O8" s="129"/>
      <c r="P8" s="129"/>
      <c r="Q8" s="129"/>
      <c r="R8" s="168" t="s">
        <v>24</v>
      </c>
      <c r="S8" s="118"/>
      <c r="T8" s="118"/>
      <c r="U8" s="229" t="str">
        <f>IF('FRI report'!U8:Y8="","",'FRI report'!U8:Y8)</f>
        <v>9928-539898(1st lot)</v>
      </c>
      <c r="V8" s="184"/>
      <c r="W8" s="184"/>
      <c r="X8" s="184"/>
      <c r="Y8" s="184"/>
      <c r="AA8" s="34"/>
      <c r="AB8" s="12"/>
      <c r="AC8" s="12"/>
    </row>
    <row r="9" spans="1:29" ht="12" customHeight="1">
      <c r="A9" s="168" t="s">
        <v>26</v>
      </c>
      <c r="B9" s="118"/>
      <c r="C9" s="118"/>
      <c r="D9" s="229" t="str">
        <f>IF('FRI report'!D9:Y9="","",'FRI report'!D9:Y9)</f>
        <v>XX-ABC-68878-C</v>
      </c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</row>
    <row r="10" spans="1:29" ht="12" customHeight="1">
      <c r="A10" s="168" t="s">
        <v>28</v>
      </c>
      <c r="B10" s="118"/>
      <c r="C10" s="118"/>
      <c r="D10" s="229" t="str">
        <f>IF('FRI report'!D10:Y10="","",'FRI report'!D10:Y10)</f>
        <v>Standard Component Assembly with Seal Insert</v>
      </c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</row>
    <row r="11" spans="1:29" ht="5.0999999999999996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5"/>
      <c r="P11" s="13"/>
      <c r="Q11" s="15"/>
      <c r="R11" s="13"/>
      <c r="S11" s="15"/>
      <c r="T11" s="15"/>
      <c r="U11" s="13"/>
      <c r="V11" s="13"/>
      <c r="W11" s="13"/>
      <c r="X11" s="13"/>
      <c r="Y11" s="13"/>
    </row>
    <row r="12" spans="1:29" ht="10.5" customHeight="1">
      <c r="A12" s="231" t="s">
        <v>196</v>
      </c>
      <c r="B12" s="118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9" ht="10.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9" ht="10.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9" ht="10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1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9" ht="10.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10.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0.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0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1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0.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0.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0.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0.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0.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0.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0.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0.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0.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0.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0.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0.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0.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0.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0.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0.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0.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0.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0.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0.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0.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0.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0.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0.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0.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0.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0.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0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0.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0.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0.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0.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0.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0.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10.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0.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10.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0.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0.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0.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0.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0.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0.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0.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0.5" customHeight="1"/>
    <row r="65" ht="10.5" customHeight="1"/>
    <row r="66" ht="10.5" customHeight="1"/>
    <row r="67" ht="10.5" customHeight="1"/>
    <row r="68" ht="10.5" customHeight="1"/>
    <row r="69" ht="10.5" customHeight="1"/>
    <row r="70" ht="10.5" customHeight="1"/>
    <row r="71" ht="10.5" customHeight="1"/>
    <row r="72" ht="10.5" customHeight="1"/>
    <row r="73" ht="10.5" customHeight="1"/>
    <row r="74" ht="10.5" customHeight="1"/>
    <row r="75" ht="10.5" customHeight="1"/>
    <row r="76" ht="10.5" customHeight="1"/>
    <row r="77" ht="10.5" customHeight="1"/>
    <row r="78" ht="10.5" customHeight="1"/>
    <row r="79" ht="10.5" customHeight="1"/>
    <row r="80" ht="10.5" customHeight="1"/>
    <row r="81" ht="10.5" customHeight="1"/>
    <row r="82" ht="10.5" customHeight="1"/>
    <row r="83" ht="10.5" customHeight="1"/>
    <row r="84" ht="10.5" customHeight="1"/>
    <row r="85" ht="10.5" customHeight="1"/>
    <row r="86" ht="10.5" customHeight="1"/>
    <row r="87" ht="10.5" customHeight="1"/>
    <row r="88" ht="10.5" customHeight="1"/>
    <row r="89" ht="10.5" customHeight="1"/>
    <row r="90" ht="10.5" customHeight="1"/>
    <row r="91" ht="10.5" customHeight="1"/>
    <row r="92" ht="10.5" customHeight="1"/>
    <row r="93" ht="10.5" customHeight="1"/>
    <row r="94" ht="10.5" customHeight="1"/>
    <row r="95" ht="10.5" customHeight="1"/>
    <row r="96" ht="10.5" customHeight="1"/>
    <row r="97" ht="10.5" customHeight="1"/>
    <row r="98" ht="10.5" customHeight="1"/>
    <row r="99" ht="10.5" customHeight="1"/>
    <row r="100" ht="10.5" customHeight="1"/>
    <row r="101" ht="10.5" customHeight="1"/>
    <row r="102" ht="10.5" customHeight="1"/>
    <row r="103" ht="10.5" customHeight="1"/>
    <row r="104" ht="10.5" customHeight="1"/>
    <row r="105" ht="10.5" customHeight="1"/>
    <row r="106" ht="10.5" customHeight="1"/>
    <row r="107" ht="10.5" customHeight="1"/>
    <row r="108" ht="10.5" customHeight="1"/>
    <row r="109" ht="10.5" customHeight="1"/>
    <row r="110" ht="10.5" customHeight="1"/>
    <row r="111" ht="10.5" customHeight="1"/>
    <row r="112" ht="10.5" customHeight="1"/>
    <row r="113" ht="10.5" customHeight="1"/>
    <row r="114" ht="10.5" customHeight="1"/>
    <row r="115" ht="10.5" customHeight="1"/>
    <row r="116" ht="10.5" customHeight="1"/>
    <row r="117" ht="10.5" customHeight="1"/>
    <row r="118" ht="10.5" customHeight="1"/>
    <row r="119" ht="10.5" customHeight="1"/>
    <row r="120" ht="10.5" customHeight="1"/>
    <row r="121" ht="10.5" customHeight="1"/>
    <row r="122" ht="10.5" customHeight="1"/>
    <row r="123" ht="10.5" customHeight="1"/>
    <row r="124" ht="10.5" customHeight="1"/>
    <row r="125" ht="10.5" customHeight="1"/>
    <row r="126" ht="10.5" customHeight="1"/>
    <row r="127" ht="10.5" customHeight="1"/>
    <row r="128" ht="10.5" customHeight="1"/>
    <row r="129" ht="10.5" customHeight="1"/>
    <row r="130" ht="10.5" customHeight="1"/>
    <row r="131" ht="10.5" customHeight="1"/>
    <row r="132" ht="10.5" customHeight="1"/>
    <row r="133" ht="10.5" customHeight="1"/>
    <row r="134" ht="10.5" customHeight="1"/>
    <row r="135" ht="10.5" customHeight="1"/>
    <row r="136" ht="10.5" customHeight="1"/>
    <row r="137" ht="10.5" customHeight="1"/>
    <row r="138" ht="10.5" customHeight="1"/>
    <row r="139" ht="10.5" customHeight="1"/>
    <row r="140" ht="10.5" customHeight="1"/>
    <row r="141" ht="10.5" customHeight="1"/>
    <row r="142" ht="10.5" customHeight="1"/>
    <row r="143" ht="10.5" customHeight="1"/>
    <row r="144" ht="10.5" customHeight="1"/>
    <row r="145" ht="10.5" customHeight="1"/>
    <row r="146" ht="10.5" customHeight="1"/>
    <row r="147" ht="10.5" customHeight="1"/>
    <row r="148" ht="10.5" customHeight="1"/>
    <row r="149" ht="10.5" customHeight="1"/>
    <row r="150" ht="10.5" customHeight="1"/>
    <row r="151" ht="10.5" customHeight="1"/>
    <row r="152" ht="10.5" customHeight="1"/>
    <row r="153" ht="10.5" customHeight="1"/>
    <row r="154" ht="10.5" customHeight="1"/>
    <row r="155" ht="10.5" customHeight="1"/>
    <row r="156" ht="10.5" customHeight="1"/>
    <row r="157" ht="10.5" customHeight="1"/>
    <row r="158" ht="10.5" customHeight="1"/>
    <row r="159" ht="10.5" customHeight="1"/>
    <row r="160" ht="10.5" customHeight="1"/>
    <row r="161" ht="10.5" customHeight="1"/>
    <row r="162" ht="10.5" customHeight="1"/>
    <row r="163" ht="10.5" customHeight="1"/>
    <row r="164" ht="10.5" customHeight="1"/>
    <row r="165" ht="10.5" customHeight="1"/>
    <row r="166" ht="10.5" customHeight="1"/>
    <row r="167" ht="10.5" customHeight="1"/>
    <row r="168" ht="10.5" customHeight="1"/>
    <row r="169" ht="10.5" customHeight="1"/>
    <row r="170" ht="10.5" customHeight="1"/>
    <row r="171" ht="10.5" customHeight="1"/>
    <row r="172" ht="10.5" customHeight="1"/>
    <row r="173" ht="10.5" customHeight="1"/>
    <row r="174" ht="10.5" customHeight="1"/>
    <row r="175" ht="10.5" customHeight="1"/>
    <row r="176" ht="10.5" customHeight="1"/>
    <row r="177" ht="10.5" customHeight="1"/>
    <row r="178" ht="10.5" customHeight="1"/>
    <row r="179" ht="10.5" customHeight="1"/>
    <row r="180" ht="10.5" customHeight="1"/>
    <row r="181" ht="10.5" customHeight="1"/>
    <row r="182" ht="10.5" customHeight="1"/>
    <row r="183" ht="10.5" customHeight="1"/>
    <row r="184" ht="10.5" customHeight="1"/>
    <row r="185" ht="10.5" customHeight="1"/>
    <row r="186" ht="10.5" customHeight="1"/>
    <row r="187" ht="10.5" customHeight="1"/>
    <row r="188" ht="10.5" customHeight="1"/>
    <row r="189" ht="10.5" customHeight="1"/>
    <row r="190" ht="10.5" customHeight="1"/>
    <row r="191" ht="10.5" customHeight="1"/>
    <row r="192" ht="10.5" customHeight="1"/>
    <row r="193" ht="10.5" customHeight="1"/>
    <row r="194" ht="10.5" customHeight="1"/>
    <row r="195" ht="10.5" customHeight="1"/>
    <row r="196" ht="10.5" customHeight="1"/>
    <row r="197" ht="10.5" customHeight="1"/>
    <row r="198" ht="10.5" customHeight="1"/>
    <row r="199" ht="10.5" customHeight="1"/>
    <row r="200" ht="10.5" customHeight="1"/>
    <row r="201" ht="10.5" customHeight="1"/>
    <row r="202" ht="10.5" customHeight="1"/>
    <row r="203" ht="10.5" customHeight="1"/>
    <row r="204" ht="10.5" customHeight="1"/>
    <row r="205" ht="10.5" customHeight="1"/>
    <row r="206" ht="10.5" customHeight="1"/>
    <row r="207" ht="10.5" customHeight="1"/>
    <row r="208" ht="10.5" customHeight="1"/>
    <row r="209" ht="10.5" customHeight="1"/>
    <row r="210" ht="10.5" customHeight="1"/>
    <row r="211" ht="10.5" customHeight="1"/>
    <row r="212" ht="10.5" customHeight="1"/>
    <row r="213" ht="10.5" customHeight="1"/>
    <row r="214" ht="10.5" customHeight="1"/>
    <row r="215" ht="10.5" customHeight="1"/>
    <row r="216" ht="10.5" customHeight="1"/>
    <row r="217" ht="10.5" customHeight="1"/>
    <row r="218" ht="10.5" customHeight="1"/>
    <row r="219" ht="10.5" customHeight="1"/>
    <row r="220" ht="10.5" customHeight="1"/>
    <row r="221" ht="10.5" customHeight="1"/>
    <row r="222" ht="10.5" customHeight="1"/>
    <row r="223" ht="10.5" customHeight="1"/>
    <row r="224" ht="10.5" customHeight="1"/>
    <row r="225" ht="10.5" customHeight="1"/>
    <row r="226" ht="10.5" customHeight="1"/>
    <row r="227" ht="10.5" customHeight="1"/>
    <row r="228" ht="10.5" customHeight="1"/>
    <row r="229" ht="10.5" customHeight="1"/>
    <row r="230" ht="10.5" customHeight="1"/>
    <row r="231" ht="10.5" customHeight="1"/>
    <row r="232" ht="10.5" customHeight="1"/>
    <row r="233" ht="10.5" customHeight="1"/>
    <row r="234" ht="10.5" customHeight="1"/>
    <row r="235" ht="10.5" customHeight="1"/>
    <row r="236" ht="10.5" customHeight="1"/>
    <row r="237" ht="10.5" customHeight="1"/>
    <row r="238" ht="10.5" customHeight="1"/>
    <row r="239" ht="10.5" customHeight="1"/>
    <row r="240" ht="10.5" customHeight="1"/>
    <row r="241" ht="10.5" customHeight="1"/>
    <row r="242" ht="10.5" customHeight="1"/>
    <row r="243" ht="10.5" customHeight="1"/>
    <row r="244" ht="10.5" customHeight="1"/>
    <row r="245" ht="10.5" customHeight="1"/>
    <row r="246" ht="10.5" customHeight="1"/>
    <row r="247" ht="10.5" customHeight="1"/>
    <row r="248" ht="10.5" customHeight="1"/>
    <row r="249" ht="10.5" customHeight="1"/>
    <row r="250" ht="10.5" customHeight="1"/>
    <row r="251" ht="10.5" customHeight="1"/>
    <row r="252" ht="10.5" customHeight="1"/>
    <row r="253" ht="10.5" customHeight="1"/>
    <row r="254" ht="10.5" customHeight="1"/>
    <row r="255" ht="10.5" customHeight="1"/>
    <row r="256" ht="10.5" customHeight="1"/>
    <row r="257" ht="10.5" customHeight="1"/>
    <row r="258" ht="10.5" customHeight="1"/>
    <row r="259" ht="10.5" customHeight="1"/>
    <row r="260" ht="10.5" customHeight="1"/>
    <row r="261" ht="10.5" customHeight="1"/>
    <row r="262" ht="10.5" customHeight="1"/>
    <row r="263" ht="10.5" customHeight="1"/>
    <row r="264" ht="10.5" customHeight="1"/>
    <row r="265" ht="10.5" customHeight="1"/>
    <row r="266" ht="10.5" customHeight="1"/>
    <row r="267" ht="10.5" customHeight="1"/>
    <row r="268" ht="10.5" customHeight="1"/>
    <row r="269" ht="10.5" customHeight="1"/>
    <row r="270" ht="10.5" customHeight="1"/>
    <row r="271" ht="10.5" customHeight="1"/>
    <row r="272" ht="10.5" customHeight="1"/>
    <row r="273" ht="10.5" customHeight="1"/>
    <row r="274" ht="10.5" customHeight="1"/>
    <row r="275" ht="10.5" customHeight="1"/>
    <row r="276" ht="10.5" customHeight="1"/>
    <row r="277" ht="10.5" customHeight="1"/>
    <row r="278" ht="10.5" customHeight="1"/>
    <row r="279" ht="10.5" customHeight="1"/>
    <row r="280" ht="10.5" customHeight="1"/>
    <row r="281" ht="10.5" customHeight="1"/>
    <row r="282" ht="10.5" customHeight="1"/>
    <row r="283" ht="10.5" customHeight="1"/>
    <row r="284" ht="10.5" customHeight="1"/>
    <row r="285" ht="10.5" customHeight="1"/>
    <row r="286" ht="10.5" customHeight="1"/>
    <row r="287" ht="10.5" customHeight="1"/>
    <row r="288" ht="10.5" customHeight="1"/>
    <row r="289" ht="10.5" customHeight="1"/>
    <row r="290" ht="10.5" customHeight="1"/>
    <row r="291" ht="10.5" customHeight="1"/>
    <row r="292" ht="10.5" customHeight="1"/>
    <row r="293" ht="10.5" customHeight="1"/>
    <row r="294" ht="10.5" customHeight="1"/>
    <row r="295" ht="10.5" customHeight="1"/>
    <row r="296" ht="10.5" customHeight="1"/>
    <row r="297" ht="10.5" customHeight="1"/>
    <row r="298" ht="10.5" customHeight="1"/>
    <row r="299" ht="10.5" customHeight="1"/>
    <row r="300" ht="10.5" customHeight="1"/>
    <row r="301" ht="10.5" customHeight="1"/>
    <row r="302" ht="10.5" customHeight="1"/>
    <row r="303" ht="10.5" customHeight="1"/>
    <row r="304" ht="10.5" customHeight="1"/>
    <row r="305" ht="10.5" customHeight="1"/>
    <row r="306" ht="10.5" customHeight="1"/>
    <row r="307" ht="10.5" customHeight="1"/>
    <row r="308" ht="10.5" customHeight="1"/>
    <row r="309" ht="10.5" customHeight="1"/>
    <row r="310" ht="10.5" customHeight="1"/>
    <row r="311" ht="10.5" customHeight="1"/>
    <row r="312" ht="10.5" customHeight="1"/>
    <row r="313" ht="10.5" customHeight="1"/>
    <row r="314" ht="10.5" customHeight="1"/>
    <row r="315" ht="10.5" customHeight="1"/>
    <row r="316" ht="10.5" customHeight="1"/>
    <row r="317" ht="10.5" customHeight="1"/>
    <row r="318" ht="10.5" customHeight="1"/>
    <row r="319" ht="10.5" customHeight="1"/>
    <row r="320" ht="10.5" customHeight="1"/>
    <row r="321" ht="10.5" customHeight="1"/>
    <row r="322" ht="10.5" customHeight="1"/>
    <row r="323" ht="10.5" customHeight="1"/>
    <row r="324" ht="10.5" customHeight="1"/>
    <row r="325" ht="10.5" customHeight="1"/>
    <row r="326" ht="10.5" customHeight="1"/>
    <row r="327" ht="10.5" customHeight="1"/>
    <row r="328" ht="10.5" customHeight="1"/>
    <row r="329" ht="10.5" customHeight="1"/>
    <row r="330" ht="10.5" customHeight="1"/>
    <row r="331" ht="10.5" customHeight="1"/>
    <row r="332" ht="10.5" customHeight="1"/>
    <row r="333" ht="10.5" customHeight="1"/>
    <row r="334" ht="10.5" customHeight="1"/>
    <row r="335" ht="10.5" customHeight="1"/>
    <row r="336" ht="10.5" customHeight="1"/>
    <row r="337" ht="10.5" customHeight="1"/>
    <row r="338" ht="10.5" customHeight="1"/>
    <row r="339" ht="10.5" customHeight="1"/>
    <row r="340" ht="10.5" customHeight="1"/>
    <row r="341" ht="10.5" customHeight="1"/>
  </sheetData>
  <mergeCells count="35">
    <mergeCell ref="A12:B12"/>
    <mergeCell ref="A10:C10"/>
    <mergeCell ref="D10:Y10"/>
    <mergeCell ref="D7:H7"/>
    <mergeCell ref="U7:Y7"/>
    <mergeCell ref="A9:C9"/>
    <mergeCell ref="A7:C7"/>
    <mergeCell ref="R8:T8"/>
    <mergeCell ref="L7:Q7"/>
    <mergeCell ref="U8:Y8"/>
    <mergeCell ref="D8:H8"/>
    <mergeCell ref="R7:T7"/>
    <mergeCell ref="I7:K7"/>
    <mergeCell ref="A5:C5"/>
    <mergeCell ref="I5:K5"/>
    <mergeCell ref="A8:C8"/>
    <mergeCell ref="I8:K8"/>
    <mergeCell ref="I4:K4"/>
    <mergeCell ref="A4:C4"/>
    <mergeCell ref="D4:H4"/>
    <mergeCell ref="I6:K6"/>
    <mergeCell ref="A6:C6"/>
    <mergeCell ref="D5:H5"/>
    <mergeCell ref="L5:Q5"/>
    <mergeCell ref="U6:Y6"/>
    <mergeCell ref="L8:Q8"/>
    <mergeCell ref="D9:Y9"/>
    <mergeCell ref="L4:Q4"/>
    <mergeCell ref="D6:H6"/>
    <mergeCell ref="L6:Q6"/>
    <mergeCell ref="R5:T5"/>
    <mergeCell ref="R4:T4"/>
    <mergeCell ref="U5:Y5"/>
    <mergeCell ref="U4:Y4"/>
    <mergeCell ref="R6:T6"/>
  </mergeCells>
  <printOptions horizontalCentered="1"/>
  <pageMargins left="0.4" right="0.4" top="0.3" bottom="0.5" header="0.3" footer="0.25"/>
  <pageSetup paperSize="9" scale="95" fitToHeight="4" orientation="portrait"/>
  <headerFooter>
    <oddFooter>&amp;L&amp;6 Doc#: FIR-003.5
Effective: 20171109&amp;C&amp;"Arial,Regular"&amp;6 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C341"/>
  <sheetViews>
    <sheetView topLeftCell="A2" zoomScale="130" zoomScaleNormal="130" workbookViewId="0">
      <selection activeCell="D7" sqref="D7:H7"/>
    </sheetView>
  </sheetViews>
  <sheetFormatPr defaultColWidth="9.21875" defaultRowHeight="15" customHeight="1"/>
  <cols>
    <col min="1" max="10" width="3.77734375" style="11" customWidth="1"/>
    <col min="11" max="11" width="4.88671875" style="11" customWidth="1"/>
    <col min="12" max="25" width="3.77734375" style="11" customWidth="1"/>
    <col min="26" max="26" width="2.77734375" style="35" customWidth="1"/>
    <col min="27" max="27" width="9.21875" style="33" customWidth="1"/>
    <col min="28" max="28" width="9.21875" style="11" customWidth="1"/>
    <col min="29" max="16384" width="9.21875" style="11"/>
  </cols>
  <sheetData>
    <row r="1" spans="1:29" ht="9.75" customHeight="1"/>
    <row r="2" spans="1:29" ht="72.599999999999994" customHeight="1">
      <c r="A2" s="13"/>
      <c r="B2" s="1"/>
      <c r="C2" s="1"/>
      <c r="D2" s="13"/>
      <c r="E2" s="88" t="s">
        <v>0</v>
      </c>
      <c r="F2" s="89"/>
      <c r="G2" s="89"/>
      <c r="H2" s="90"/>
      <c r="I2" s="89"/>
      <c r="J2" s="89"/>
      <c r="K2" s="89"/>
      <c r="L2" s="89"/>
      <c r="M2" s="89"/>
      <c r="N2" s="1"/>
      <c r="O2" s="1"/>
      <c r="P2" s="1"/>
      <c r="Q2" s="1"/>
      <c r="R2" s="1"/>
      <c r="S2" s="1"/>
      <c r="T2" s="1"/>
      <c r="U2" s="13"/>
      <c r="V2" s="13"/>
      <c r="W2" s="13"/>
      <c r="X2" s="13"/>
      <c r="Y2" s="13"/>
    </row>
    <row r="3" spans="1:29" ht="8.1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4"/>
      <c r="O3" s="13"/>
      <c r="P3" s="13"/>
      <c r="Q3" s="13"/>
      <c r="R3" s="14"/>
      <c r="S3" s="14"/>
      <c r="T3" s="14"/>
      <c r="U3" s="13"/>
      <c r="V3" s="13"/>
      <c r="W3" s="13"/>
      <c r="X3" s="13"/>
      <c r="Y3" s="13"/>
    </row>
    <row r="4" spans="1:29" ht="12" customHeight="1">
      <c r="A4" s="168" t="s">
        <v>1</v>
      </c>
      <c r="B4" s="118"/>
      <c r="C4" s="118"/>
      <c r="D4" s="229" t="str">
        <f>IF('FRI report'!D4:H4="","",'FRI report'!D4:H4)</f>
        <v>Global Tech</v>
      </c>
      <c r="E4" s="184"/>
      <c r="F4" s="184"/>
      <c r="G4" s="184"/>
      <c r="H4" s="184"/>
      <c r="I4" s="117" t="s">
        <v>3</v>
      </c>
      <c r="J4" s="118"/>
      <c r="K4" s="118"/>
      <c r="L4" s="229" t="str">
        <f>IF('FRI report'!L4:Q4="","",'FRI report'!L4:Q4)</f>
        <v>Alpha Labs</v>
      </c>
      <c r="M4" s="184"/>
      <c r="N4" s="184"/>
      <c r="O4" s="184"/>
      <c r="P4" s="184"/>
      <c r="Q4" s="184"/>
      <c r="R4" s="168" t="s">
        <v>5</v>
      </c>
      <c r="S4" s="118"/>
      <c r="T4" s="118"/>
      <c r="U4" s="229" t="str">
        <f>IF('FRI report'!U4:Y4="","",'FRI report'!U4:Y4)</f>
        <v>PO-XX328</v>
      </c>
      <c r="V4" s="184"/>
      <c r="W4" s="184"/>
      <c r="X4" s="184"/>
      <c r="Y4" s="184"/>
      <c r="Z4" s="35" t="s">
        <v>194</v>
      </c>
      <c r="AA4" s="34" t="s">
        <v>195</v>
      </c>
      <c r="AB4" s="12"/>
      <c r="AC4" s="12"/>
    </row>
    <row r="5" spans="1:29" ht="12" customHeight="1">
      <c r="A5" s="117" t="s">
        <v>1227</v>
      </c>
      <c r="B5" s="118"/>
      <c r="C5" s="118"/>
      <c r="D5" s="229" t="str">
        <f>IF('FRI report'!D5:H5="","",'FRI report'!D5:H5)</f>
        <v>TX</v>
      </c>
      <c r="E5" s="184"/>
      <c r="F5" s="184"/>
      <c r="G5" s="184"/>
      <c r="H5" s="184"/>
      <c r="I5" s="168" t="s">
        <v>8</v>
      </c>
      <c r="J5" s="118"/>
      <c r="K5" s="118"/>
      <c r="L5" s="229" t="str">
        <f>IF('FRI report'!L5:Q5="","",'FRI report'!L5:Q5)</f>
        <v>Sam Davis</v>
      </c>
      <c r="M5" s="184"/>
      <c r="N5" s="184"/>
      <c r="O5" s="184"/>
      <c r="P5" s="184"/>
      <c r="Q5" s="184"/>
      <c r="R5" s="168" t="s">
        <v>1228</v>
      </c>
      <c r="S5" s="118"/>
      <c r="T5" s="118"/>
      <c r="U5" s="229" t="str">
        <f>IF('FRI report'!U5:Y5="","",'FRI report'!U5:Y5)</f>
        <v>21668732</v>
      </c>
      <c r="V5" s="184"/>
      <c r="W5" s="184"/>
      <c r="X5" s="184"/>
      <c r="Y5" s="184"/>
      <c r="AA5" s="34"/>
      <c r="AB5" s="12"/>
      <c r="AC5" s="12"/>
    </row>
    <row r="6" spans="1:29" ht="12" customHeight="1">
      <c r="A6" s="117" t="s">
        <v>11</v>
      </c>
      <c r="B6" s="118"/>
      <c r="C6" s="118"/>
      <c r="D6" s="229" t="str">
        <f>IF('FRI report'!D6:H6="","",'FRI report'!D6:H6)</f>
        <v>Avery Wilson</v>
      </c>
      <c r="E6" s="184"/>
      <c r="F6" s="184"/>
      <c r="G6" s="184"/>
      <c r="H6" s="184"/>
      <c r="I6" s="168" t="s">
        <v>13</v>
      </c>
      <c r="J6" s="118"/>
      <c r="K6" s="118"/>
      <c r="L6" s="229" t="str">
        <f>IF('FRI report'!L6:Q6="","",'FRI report'!L6:Q6)</f>
        <v>Greenfield county, Metro city</v>
      </c>
      <c r="M6" s="184"/>
      <c r="N6" s="184"/>
      <c r="O6" s="184"/>
      <c r="P6" s="184"/>
      <c r="Q6" s="184"/>
      <c r="R6" s="168" t="s">
        <v>15</v>
      </c>
      <c r="S6" s="118"/>
      <c r="T6" s="118"/>
      <c r="U6" s="230" t="str">
        <f>IF('FRI report'!U6:Y6="","",'FRI report'!U6:Y6)</f>
        <v>N/A</v>
      </c>
      <c r="V6" s="184"/>
      <c r="W6" s="184"/>
      <c r="X6" s="184"/>
      <c r="Y6" s="184"/>
    </row>
    <row r="7" spans="1:29" ht="12" customHeight="1">
      <c r="A7" s="168" t="s">
        <v>17</v>
      </c>
      <c r="B7" s="118"/>
      <c r="C7" s="118"/>
      <c r="D7" s="229" t="str">
        <f>IF('FRI report'!D7:H7="","",'FRI report'!D7:H7)</f>
        <v>XXBFNO6</v>
      </c>
      <c r="E7" s="184"/>
      <c r="F7" s="184"/>
      <c r="G7" s="184"/>
      <c r="H7" s="184"/>
      <c r="I7" s="168" t="s">
        <v>19</v>
      </c>
      <c r="J7" s="118"/>
      <c r="K7" s="118"/>
      <c r="L7" s="232">
        <f>IF('FRI report'!L7:Q7="","",'FRI report'!L7:Q7)</f>
        <v>46046</v>
      </c>
      <c r="M7" s="120"/>
      <c r="N7" s="120"/>
      <c r="O7" s="120"/>
      <c r="P7" s="120"/>
      <c r="Q7" s="120"/>
      <c r="R7" s="168" t="s">
        <v>20</v>
      </c>
      <c r="S7" s="118"/>
      <c r="T7" s="118"/>
      <c r="U7" s="230" t="str">
        <f>IF('FRI report'!U7:Y7="","",'FRI report'!U7:Y7)</f>
        <v>88907PCS</v>
      </c>
      <c r="V7" s="184"/>
      <c r="W7" s="184"/>
      <c r="X7" s="184"/>
      <c r="Y7" s="184"/>
    </row>
    <row r="8" spans="1:29" ht="12" customHeight="1">
      <c r="A8" s="168"/>
      <c r="B8" s="118"/>
      <c r="C8" s="118"/>
      <c r="D8" s="233"/>
      <c r="E8" s="129"/>
      <c r="F8" s="129"/>
      <c r="G8" s="129"/>
      <c r="H8" s="129"/>
      <c r="I8" s="117"/>
      <c r="J8" s="118"/>
      <c r="K8" s="118"/>
      <c r="L8" s="128"/>
      <c r="M8" s="129"/>
      <c r="N8" s="129"/>
      <c r="O8" s="129"/>
      <c r="P8" s="129"/>
      <c r="Q8" s="129"/>
      <c r="R8" s="168" t="s">
        <v>24</v>
      </c>
      <c r="S8" s="118"/>
      <c r="T8" s="118"/>
      <c r="U8" s="229" t="str">
        <f>IF('FRI report'!U8:Y8="","",'FRI report'!U8:Y8)</f>
        <v>9928-539898(1st lot)</v>
      </c>
      <c r="V8" s="184"/>
      <c r="W8" s="184"/>
      <c r="X8" s="184"/>
      <c r="Y8" s="184"/>
      <c r="AA8" s="34"/>
      <c r="AB8" s="12"/>
      <c r="AC8" s="12"/>
    </row>
    <row r="9" spans="1:29" ht="12" customHeight="1">
      <c r="A9" s="168" t="s">
        <v>26</v>
      </c>
      <c r="B9" s="118"/>
      <c r="C9" s="118"/>
      <c r="D9" s="229" t="str">
        <f>IF('FRI report'!D9:Y9="","",'FRI report'!D9:Y9)</f>
        <v>XX-ABC-68878-C</v>
      </c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</row>
    <row r="10" spans="1:29" ht="12" customHeight="1">
      <c r="A10" s="168" t="s">
        <v>28</v>
      </c>
      <c r="B10" s="118"/>
      <c r="C10" s="118"/>
      <c r="D10" s="229" t="str">
        <f>IF('FRI report'!D10:Y10="","",'FRI report'!D10:Y10)</f>
        <v>Standard Component Assembly with Seal Insert</v>
      </c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</row>
    <row r="11" spans="1:29" ht="5.0999999999999996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5"/>
      <c r="P11" s="13"/>
      <c r="Q11" s="15"/>
      <c r="R11" s="13"/>
      <c r="S11" s="15"/>
      <c r="T11" s="15"/>
      <c r="U11" s="13"/>
      <c r="V11" s="13"/>
      <c r="W11" s="13"/>
      <c r="X11" s="13"/>
      <c r="Y11" s="13"/>
    </row>
    <row r="12" spans="1:29" ht="10.5" customHeight="1">
      <c r="A12" s="231" t="s">
        <v>196</v>
      </c>
      <c r="B12" s="118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9" ht="10.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9" ht="10.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9" ht="10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1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9" ht="10.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10.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0.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0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1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0.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0.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0.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0.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0.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0.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0.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0.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0.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0.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0.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0.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0.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0.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0.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0.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0.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0.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0.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0.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0.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0.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0.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0.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0.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0.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0.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0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0.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0.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0.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0.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0.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0.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10.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0.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10.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0.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0.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0.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0.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0.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0.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0.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0.5" customHeight="1"/>
    <row r="65" ht="10.5" customHeight="1"/>
    <row r="66" ht="10.5" customHeight="1"/>
    <row r="67" ht="10.5" customHeight="1"/>
    <row r="68" ht="10.5" customHeight="1"/>
    <row r="69" ht="10.5" customHeight="1"/>
    <row r="70" ht="10.5" customHeight="1"/>
    <row r="71" ht="10.5" customHeight="1"/>
    <row r="72" ht="10.5" customHeight="1"/>
    <row r="73" ht="10.5" customHeight="1"/>
    <row r="74" ht="10.5" customHeight="1"/>
    <row r="75" ht="10.5" customHeight="1"/>
    <row r="76" ht="10.5" customHeight="1"/>
    <row r="77" ht="10.5" customHeight="1"/>
    <row r="78" ht="10.5" customHeight="1"/>
    <row r="79" ht="10.5" customHeight="1"/>
    <row r="80" ht="10.5" customHeight="1"/>
    <row r="81" ht="10.5" customHeight="1"/>
    <row r="82" ht="10.5" customHeight="1"/>
    <row r="83" ht="10.5" customHeight="1"/>
    <row r="84" ht="10.5" customHeight="1"/>
    <row r="85" ht="10.5" customHeight="1"/>
    <row r="86" ht="10.5" customHeight="1"/>
    <row r="87" ht="10.5" customHeight="1"/>
    <row r="88" ht="10.5" customHeight="1"/>
    <row r="89" ht="10.5" customHeight="1"/>
    <row r="90" ht="10.5" customHeight="1"/>
    <row r="91" ht="10.5" customHeight="1"/>
    <row r="92" ht="10.5" customHeight="1"/>
    <row r="93" ht="10.5" customHeight="1"/>
    <row r="94" ht="10.5" customHeight="1"/>
    <row r="95" ht="10.5" customHeight="1"/>
    <row r="96" ht="10.5" customHeight="1"/>
    <row r="97" ht="10.5" customHeight="1"/>
    <row r="98" ht="10.5" customHeight="1"/>
    <row r="99" ht="10.5" customHeight="1"/>
    <row r="100" ht="10.5" customHeight="1"/>
    <row r="101" ht="10.5" customHeight="1"/>
    <row r="102" ht="10.5" customHeight="1"/>
    <row r="103" ht="10.5" customHeight="1"/>
    <row r="104" ht="10.5" customHeight="1"/>
    <row r="105" ht="10.5" customHeight="1"/>
    <row r="106" ht="10.5" customHeight="1"/>
    <row r="107" ht="10.5" customHeight="1"/>
    <row r="108" ht="10.5" customHeight="1"/>
    <row r="109" ht="10.5" customHeight="1"/>
    <row r="110" ht="10.5" customHeight="1"/>
    <row r="111" ht="10.5" customHeight="1"/>
    <row r="112" ht="10.5" customHeight="1"/>
    <row r="113" ht="10.5" customHeight="1"/>
    <row r="114" ht="10.5" customHeight="1"/>
    <row r="115" ht="10.5" customHeight="1"/>
    <row r="116" ht="10.5" customHeight="1"/>
    <row r="117" ht="10.5" customHeight="1"/>
    <row r="118" ht="10.5" customHeight="1"/>
    <row r="119" ht="10.5" customHeight="1"/>
    <row r="120" ht="10.5" customHeight="1"/>
    <row r="121" ht="10.5" customHeight="1"/>
    <row r="122" ht="10.5" customHeight="1"/>
    <row r="123" ht="10.5" customHeight="1"/>
    <row r="124" ht="10.5" customHeight="1"/>
    <row r="125" ht="10.5" customHeight="1"/>
    <row r="126" ht="10.5" customHeight="1"/>
    <row r="127" ht="10.5" customHeight="1"/>
    <row r="128" ht="10.5" customHeight="1"/>
    <row r="129" ht="10.5" customHeight="1"/>
    <row r="130" ht="10.5" customHeight="1"/>
    <row r="131" ht="10.5" customHeight="1"/>
    <row r="132" ht="10.5" customHeight="1"/>
    <row r="133" ht="10.5" customHeight="1"/>
    <row r="134" ht="10.5" customHeight="1"/>
    <row r="135" ht="10.5" customHeight="1"/>
    <row r="136" ht="10.5" customHeight="1"/>
    <row r="137" ht="10.5" customHeight="1"/>
    <row r="138" ht="10.5" customHeight="1"/>
    <row r="139" ht="10.5" customHeight="1"/>
    <row r="140" ht="10.5" customHeight="1"/>
    <row r="141" ht="10.5" customHeight="1"/>
    <row r="142" ht="10.5" customHeight="1"/>
    <row r="143" ht="10.5" customHeight="1"/>
    <row r="144" ht="10.5" customHeight="1"/>
    <row r="145" ht="10.5" customHeight="1"/>
    <row r="146" ht="10.5" customHeight="1"/>
    <row r="147" ht="10.5" customHeight="1"/>
    <row r="148" ht="10.5" customHeight="1"/>
    <row r="149" ht="10.5" customHeight="1"/>
    <row r="150" ht="10.5" customHeight="1"/>
    <row r="151" ht="10.5" customHeight="1"/>
    <row r="152" ht="10.5" customHeight="1"/>
    <row r="153" ht="10.5" customHeight="1"/>
    <row r="154" ht="10.5" customHeight="1"/>
    <row r="155" ht="10.5" customHeight="1"/>
    <row r="156" ht="10.5" customHeight="1"/>
    <row r="157" ht="10.5" customHeight="1"/>
    <row r="158" ht="10.5" customHeight="1"/>
    <row r="159" ht="10.5" customHeight="1"/>
    <row r="160" ht="10.5" customHeight="1"/>
    <row r="161" ht="10.5" customHeight="1"/>
    <row r="162" ht="10.5" customHeight="1"/>
    <row r="163" ht="10.5" customHeight="1"/>
    <row r="164" ht="10.5" customHeight="1"/>
    <row r="165" ht="10.5" customHeight="1"/>
    <row r="166" ht="10.5" customHeight="1"/>
    <row r="167" ht="10.5" customHeight="1"/>
    <row r="168" ht="10.5" customHeight="1"/>
    <row r="169" ht="10.5" customHeight="1"/>
    <row r="170" ht="10.5" customHeight="1"/>
    <row r="171" ht="10.5" customHeight="1"/>
    <row r="172" ht="10.5" customHeight="1"/>
    <row r="173" ht="10.5" customHeight="1"/>
    <row r="174" ht="10.5" customHeight="1"/>
    <row r="175" ht="10.5" customHeight="1"/>
    <row r="176" ht="10.5" customHeight="1"/>
    <row r="177" ht="10.5" customHeight="1"/>
    <row r="178" ht="10.5" customHeight="1"/>
    <row r="179" ht="10.5" customHeight="1"/>
    <row r="180" ht="10.5" customHeight="1"/>
    <row r="181" ht="10.5" customHeight="1"/>
    <row r="182" ht="10.5" customHeight="1"/>
    <row r="183" ht="10.5" customHeight="1"/>
    <row r="184" ht="10.5" customHeight="1"/>
    <row r="185" ht="10.5" customHeight="1"/>
    <row r="186" ht="10.5" customHeight="1"/>
    <row r="187" ht="10.5" customHeight="1"/>
    <row r="188" ht="10.5" customHeight="1"/>
    <row r="189" ht="10.5" customHeight="1"/>
    <row r="190" ht="10.5" customHeight="1"/>
    <row r="191" ht="10.5" customHeight="1"/>
    <row r="192" ht="10.5" customHeight="1"/>
    <row r="193" ht="10.5" customHeight="1"/>
    <row r="194" ht="10.5" customHeight="1"/>
    <row r="195" ht="10.5" customHeight="1"/>
    <row r="196" ht="10.5" customHeight="1"/>
    <row r="197" ht="10.5" customHeight="1"/>
    <row r="198" ht="10.5" customHeight="1"/>
    <row r="199" ht="10.5" customHeight="1"/>
    <row r="200" ht="10.5" customHeight="1"/>
    <row r="201" ht="10.5" customHeight="1"/>
    <row r="202" ht="10.5" customHeight="1"/>
    <row r="203" ht="10.5" customHeight="1"/>
    <row r="204" ht="10.5" customHeight="1"/>
    <row r="205" ht="10.5" customHeight="1"/>
    <row r="206" ht="10.5" customHeight="1"/>
    <row r="207" ht="10.5" customHeight="1"/>
    <row r="208" ht="10.5" customHeight="1"/>
    <row r="209" ht="10.5" customHeight="1"/>
    <row r="210" ht="10.5" customHeight="1"/>
    <row r="211" ht="10.5" customHeight="1"/>
    <row r="212" ht="10.5" customHeight="1"/>
    <row r="213" ht="10.5" customHeight="1"/>
    <row r="214" ht="10.5" customHeight="1"/>
    <row r="215" ht="10.5" customHeight="1"/>
    <row r="216" ht="10.5" customHeight="1"/>
    <row r="217" ht="10.5" customHeight="1"/>
    <row r="218" ht="10.5" customHeight="1"/>
    <row r="219" ht="10.5" customHeight="1"/>
    <row r="220" ht="10.5" customHeight="1"/>
    <row r="221" ht="10.5" customHeight="1"/>
    <row r="222" ht="10.5" customHeight="1"/>
    <row r="223" ht="10.5" customHeight="1"/>
    <row r="224" ht="10.5" customHeight="1"/>
    <row r="225" ht="10.5" customHeight="1"/>
    <row r="226" ht="10.5" customHeight="1"/>
    <row r="227" ht="10.5" customHeight="1"/>
    <row r="228" ht="10.5" customHeight="1"/>
    <row r="229" ht="10.5" customHeight="1"/>
    <row r="230" ht="10.5" customHeight="1"/>
    <row r="231" ht="10.5" customHeight="1"/>
    <row r="232" ht="10.5" customHeight="1"/>
    <row r="233" ht="10.5" customHeight="1"/>
    <row r="234" ht="10.5" customHeight="1"/>
    <row r="235" ht="10.5" customHeight="1"/>
    <row r="236" ht="10.5" customHeight="1"/>
    <row r="237" ht="10.5" customHeight="1"/>
    <row r="238" ht="10.5" customHeight="1"/>
    <row r="239" ht="10.5" customHeight="1"/>
    <row r="240" ht="10.5" customHeight="1"/>
    <row r="241" ht="10.5" customHeight="1"/>
    <row r="242" ht="10.5" customHeight="1"/>
    <row r="243" ht="10.5" customHeight="1"/>
    <row r="244" ht="10.5" customHeight="1"/>
    <row r="245" ht="10.5" customHeight="1"/>
    <row r="246" ht="10.5" customHeight="1"/>
    <row r="247" ht="10.5" customHeight="1"/>
    <row r="248" ht="10.5" customHeight="1"/>
    <row r="249" ht="10.5" customHeight="1"/>
    <row r="250" ht="10.5" customHeight="1"/>
    <row r="251" ht="10.5" customHeight="1"/>
    <row r="252" ht="10.5" customHeight="1"/>
    <row r="253" ht="10.5" customHeight="1"/>
    <row r="254" ht="10.5" customHeight="1"/>
    <row r="255" ht="10.5" customHeight="1"/>
    <row r="256" ht="10.5" customHeight="1"/>
    <row r="257" ht="10.5" customHeight="1"/>
    <row r="258" ht="10.5" customHeight="1"/>
    <row r="259" ht="10.5" customHeight="1"/>
    <row r="260" ht="10.5" customHeight="1"/>
    <row r="261" ht="10.5" customHeight="1"/>
    <row r="262" ht="10.5" customHeight="1"/>
    <row r="263" ht="10.5" customHeight="1"/>
    <row r="264" ht="10.5" customHeight="1"/>
    <row r="265" ht="10.5" customHeight="1"/>
    <row r="266" ht="10.5" customHeight="1"/>
    <row r="267" ht="10.5" customHeight="1"/>
    <row r="268" ht="10.5" customHeight="1"/>
    <row r="269" ht="10.5" customHeight="1"/>
    <row r="270" ht="10.5" customHeight="1"/>
    <row r="271" ht="10.5" customHeight="1"/>
    <row r="272" ht="10.5" customHeight="1"/>
    <row r="273" ht="10.5" customHeight="1"/>
    <row r="274" ht="10.5" customHeight="1"/>
    <row r="275" ht="10.5" customHeight="1"/>
    <row r="276" ht="10.5" customHeight="1"/>
    <row r="277" ht="10.5" customHeight="1"/>
    <row r="278" ht="10.5" customHeight="1"/>
    <row r="279" ht="10.5" customHeight="1"/>
    <row r="280" ht="10.5" customHeight="1"/>
    <row r="281" ht="10.5" customHeight="1"/>
    <row r="282" ht="10.5" customHeight="1"/>
    <row r="283" ht="10.5" customHeight="1"/>
    <row r="284" ht="10.5" customHeight="1"/>
    <row r="285" ht="10.5" customHeight="1"/>
    <row r="286" ht="10.5" customHeight="1"/>
    <row r="287" ht="10.5" customHeight="1"/>
    <row r="288" ht="10.5" customHeight="1"/>
    <row r="289" ht="10.5" customHeight="1"/>
    <row r="290" ht="10.5" customHeight="1"/>
    <row r="291" ht="10.5" customHeight="1"/>
    <row r="292" ht="10.5" customHeight="1"/>
    <row r="293" ht="10.5" customHeight="1"/>
    <row r="294" ht="10.5" customHeight="1"/>
    <row r="295" ht="10.5" customHeight="1"/>
    <row r="296" ht="10.5" customHeight="1"/>
    <row r="297" ht="10.5" customHeight="1"/>
    <row r="298" ht="10.5" customHeight="1"/>
    <row r="299" ht="10.5" customHeight="1"/>
    <row r="300" ht="10.5" customHeight="1"/>
    <row r="301" ht="10.5" customHeight="1"/>
    <row r="302" ht="10.5" customHeight="1"/>
    <row r="303" ht="10.5" customHeight="1"/>
    <row r="304" ht="10.5" customHeight="1"/>
    <row r="305" ht="10.5" customHeight="1"/>
    <row r="306" ht="10.5" customHeight="1"/>
    <row r="307" ht="10.5" customHeight="1"/>
    <row r="308" ht="10.5" customHeight="1"/>
    <row r="309" ht="10.5" customHeight="1"/>
    <row r="310" ht="10.5" customHeight="1"/>
    <row r="311" ht="10.5" customHeight="1"/>
    <row r="312" ht="10.5" customHeight="1"/>
    <row r="313" ht="10.5" customHeight="1"/>
    <row r="314" ht="10.5" customHeight="1"/>
    <row r="315" ht="10.5" customHeight="1"/>
    <row r="316" ht="10.5" customHeight="1"/>
    <row r="317" ht="10.5" customHeight="1"/>
    <row r="318" ht="10.5" customHeight="1"/>
    <row r="319" ht="10.5" customHeight="1"/>
    <row r="320" ht="10.5" customHeight="1"/>
    <row r="321" ht="10.5" customHeight="1"/>
    <row r="322" ht="10.5" customHeight="1"/>
    <row r="323" ht="10.5" customHeight="1"/>
    <row r="324" ht="10.5" customHeight="1"/>
    <row r="325" ht="10.5" customHeight="1"/>
    <row r="326" ht="10.5" customHeight="1"/>
    <row r="327" ht="10.5" customHeight="1"/>
    <row r="328" ht="10.5" customHeight="1"/>
    <row r="329" ht="10.5" customHeight="1"/>
    <row r="330" ht="10.5" customHeight="1"/>
    <row r="331" ht="10.5" customHeight="1"/>
    <row r="332" ht="10.5" customHeight="1"/>
    <row r="333" ht="10.5" customHeight="1"/>
    <row r="334" ht="10.5" customHeight="1"/>
    <row r="335" ht="10.5" customHeight="1"/>
    <row r="336" ht="10.5" customHeight="1"/>
    <row r="337" ht="10.5" customHeight="1"/>
    <row r="338" ht="10.5" customHeight="1"/>
    <row r="339" ht="10.5" customHeight="1"/>
    <row r="340" ht="10.5" customHeight="1"/>
    <row r="341" ht="10.5" customHeight="1"/>
  </sheetData>
  <mergeCells count="35">
    <mergeCell ref="A12:B12"/>
    <mergeCell ref="A10:C10"/>
    <mergeCell ref="D10:Y10"/>
    <mergeCell ref="D7:H7"/>
    <mergeCell ref="U7:Y7"/>
    <mergeCell ref="A9:C9"/>
    <mergeCell ref="A7:C7"/>
    <mergeCell ref="R8:T8"/>
    <mergeCell ref="L7:Q7"/>
    <mergeCell ref="U8:Y8"/>
    <mergeCell ref="D8:H8"/>
    <mergeCell ref="R7:T7"/>
    <mergeCell ref="I7:K7"/>
    <mergeCell ref="A5:C5"/>
    <mergeCell ref="I5:K5"/>
    <mergeCell ref="A8:C8"/>
    <mergeCell ref="I8:K8"/>
    <mergeCell ref="I4:K4"/>
    <mergeCell ref="A4:C4"/>
    <mergeCell ref="D4:H4"/>
    <mergeCell ref="I6:K6"/>
    <mergeCell ref="A6:C6"/>
    <mergeCell ref="D5:H5"/>
    <mergeCell ref="L5:Q5"/>
    <mergeCell ref="U6:Y6"/>
    <mergeCell ref="L8:Q8"/>
    <mergeCell ref="D9:Y9"/>
    <mergeCell ref="L4:Q4"/>
    <mergeCell ref="D6:H6"/>
    <mergeCell ref="L6:Q6"/>
    <mergeCell ref="R5:T5"/>
    <mergeCell ref="R4:T4"/>
    <mergeCell ref="U5:Y5"/>
    <mergeCell ref="U4:Y4"/>
    <mergeCell ref="R6:T6"/>
  </mergeCells>
  <printOptions horizontalCentered="1"/>
  <pageMargins left="0.4" right="0.4" top="0.3" bottom="0.5" header="0.3" footer="0.25"/>
  <pageSetup paperSize="9" scale="95" fitToHeight="4" orientation="portrait"/>
  <headerFooter>
    <oddFooter>&amp;L&amp;6 Doc#: FIR-003.5
Effective: 20171109&amp;C&amp;"Arial,Regular"&amp;6 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C341"/>
  <sheetViews>
    <sheetView topLeftCell="A2" zoomScale="130" zoomScaleNormal="130" workbookViewId="0">
      <selection activeCell="D7" sqref="D7:H7"/>
    </sheetView>
  </sheetViews>
  <sheetFormatPr defaultColWidth="9.21875" defaultRowHeight="15" customHeight="1"/>
  <cols>
    <col min="1" max="10" width="3.77734375" style="11" customWidth="1"/>
    <col min="11" max="11" width="5" style="11" customWidth="1"/>
    <col min="12" max="25" width="3.77734375" style="11" customWidth="1"/>
    <col min="26" max="26" width="2.77734375" style="35" customWidth="1"/>
    <col min="27" max="27" width="9.21875" style="33" customWidth="1"/>
    <col min="28" max="28" width="9.21875" style="11" customWidth="1"/>
    <col min="29" max="16384" width="9.21875" style="11"/>
  </cols>
  <sheetData>
    <row r="1" spans="1:29" ht="9.75" customHeight="1"/>
    <row r="2" spans="1:29" ht="72.599999999999994" customHeight="1">
      <c r="A2" s="13"/>
      <c r="B2" s="1"/>
      <c r="C2" s="1"/>
      <c r="D2" s="13"/>
      <c r="E2" s="88" t="s">
        <v>0</v>
      </c>
      <c r="F2" s="89"/>
      <c r="G2" s="89"/>
      <c r="H2" s="90"/>
      <c r="I2" s="89"/>
      <c r="J2" s="89"/>
      <c r="K2" s="89"/>
      <c r="L2" s="89"/>
      <c r="M2" s="89"/>
      <c r="N2" s="1"/>
      <c r="O2" s="1"/>
      <c r="P2" s="1"/>
      <c r="Q2" s="1"/>
      <c r="R2" s="1"/>
      <c r="S2" s="1"/>
      <c r="T2" s="1"/>
      <c r="U2" s="13"/>
      <c r="V2" s="13"/>
      <c r="W2" s="13"/>
      <c r="X2" s="13"/>
      <c r="Y2" s="13"/>
    </row>
    <row r="3" spans="1:29" ht="8.1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4"/>
      <c r="O3" s="13"/>
      <c r="P3" s="13"/>
      <c r="Q3" s="13"/>
      <c r="R3" s="14"/>
      <c r="S3" s="14"/>
      <c r="T3" s="14"/>
      <c r="U3" s="13"/>
      <c r="V3" s="13"/>
      <c r="W3" s="13"/>
      <c r="X3" s="13"/>
      <c r="Y3" s="13"/>
    </row>
    <row r="4" spans="1:29" ht="12" customHeight="1">
      <c r="A4" s="168" t="s">
        <v>1</v>
      </c>
      <c r="B4" s="118"/>
      <c r="C4" s="118"/>
      <c r="D4" s="229" t="str">
        <f>IF('FRI report'!D4:H4="","",'FRI report'!D4:H4)</f>
        <v>Global Tech</v>
      </c>
      <c r="E4" s="184"/>
      <c r="F4" s="184"/>
      <c r="G4" s="184"/>
      <c r="H4" s="184"/>
      <c r="I4" s="117" t="s">
        <v>3</v>
      </c>
      <c r="J4" s="118"/>
      <c r="K4" s="118"/>
      <c r="L4" s="229" t="str">
        <f>IF('FRI report'!L4:Q4="","",'FRI report'!L4:Q4)</f>
        <v>Alpha Labs</v>
      </c>
      <c r="M4" s="184"/>
      <c r="N4" s="184"/>
      <c r="O4" s="184"/>
      <c r="P4" s="184"/>
      <c r="Q4" s="184"/>
      <c r="R4" s="168" t="s">
        <v>5</v>
      </c>
      <c r="S4" s="118"/>
      <c r="T4" s="118"/>
      <c r="U4" s="229" t="str">
        <f>IF('FRI report'!U4:Y4="","",'FRI report'!U4:Y4)</f>
        <v>PO-XX328</v>
      </c>
      <c r="V4" s="184"/>
      <c r="W4" s="184"/>
      <c r="X4" s="184"/>
      <c r="Y4" s="184"/>
      <c r="Z4" s="35" t="s">
        <v>194</v>
      </c>
      <c r="AA4" s="34" t="s">
        <v>195</v>
      </c>
      <c r="AB4" s="12"/>
      <c r="AC4" s="12"/>
    </row>
    <row r="5" spans="1:29" ht="12" customHeight="1">
      <c r="A5" s="117" t="s">
        <v>1227</v>
      </c>
      <c r="B5" s="118"/>
      <c r="C5" s="118"/>
      <c r="D5" s="229" t="str">
        <f>IF('FRI report'!D5:H5="","",'FRI report'!D5:H5)</f>
        <v>TX</v>
      </c>
      <c r="E5" s="184"/>
      <c r="F5" s="184"/>
      <c r="G5" s="184"/>
      <c r="H5" s="184"/>
      <c r="I5" s="168" t="s">
        <v>8</v>
      </c>
      <c r="J5" s="118"/>
      <c r="K5" s="118"/>
      <c r="L5" s="229" t="str">
        <f>IF('FRI report'!L5:Q5="","",'FRI report'!L5:Q5)</f>
        <v>Sam Davis</v>
      </c>
      <c r="M5" s="184"/>
      <c r="N5" s="184"/>
      <c r="O5" s="184"/>
      <c r="P5" s="184"/>
      <c r="Q5" s="184"/>
      <c r="R5" s="168" t="s">
        <v>1228</v>
      </c>
      <c r="S5" s="118"/>
      <c r="T5" s="118"/>
      <c r="U5" s="229" t="str">
        <f>IF('FRI report'!U5:Y5="","",'FRI report'!U5:Y5)</f>
        <v>21668732</v>
      </c>
      <c r="V5" s="184"/>
      <c r="W5" s="184"/>
      <c r="X5" s="184"/>
      <c r="Y5" s="184"/>
      <c r="AA5" s="34"/>
      <c r="AB5" s="12"/>
      <c r="AC5" s="12"/>
    </row>
    <row r="6" spans="1:29" ht="12" customHeight="1">
      <c r="A6" s="117" t="s">
        <v>11</v>
      </c>
      <c r="B6" s="118"/>
      <c r="C6" s="118"/>
      <c r="D6" s="229" t="str">
        <f>IF('FRI report'!D6:H6="","",'FRI report'!D6:H6)</f>
        <v>Avery Wilson</v>
      </c>
      <c r="E6" s="184"/>
      <c r="F6" s="184"/>
      <c r="G6" s="184"/>
      <c r="H6" s="184"/>
      <c r="I6" s="168" t="s">
        <v>13</v>
      </c>
      <c r="J6" s="118"/>
      <c r="K6" s="118"/>
      <c r="L6" s="229" t="str">
        <f>IF('FRI report'!L6:Q6="","",'FRI report'!L6:Q6)</f>
        <v>Greenfield county, Metro city</v>
      </c>
      <c r="M6" s="184"/>
      <c r="N6" s="184"/>
      <c r="O6" s="184"/>
      <c r="P6" s="184"/>
      <c r="Q6" s="184"/>
      <c r="R6" s="168" t="s">
        <v>15</v>
      </c>
      <c r="S6" s="118"/>
      <c r="T6" s="118"/>
      <c r="U6" s="230" t="str">
        <f>IF('FRI report'!U6:Y6="","",'FRI report'!U6:Y6)</f>
        <v>N/A</v>
      </c>
      <c r="V6" s="184"/>
      <c r="W6" s="184"/>
      <c r="X6" s="184"/>
      <c r="Y6" s="184"/>
    </row>
    <row r="7" spans="1:29" ht="12" customHeight="1">
      <c r="A7" s="168" t="s">
        <v>17</v>
      </c>
      <c r="B7" s="118"/>
      <c r="C7" s="118"/>
      <c r="D7" s="229" t="str">
        <f>IF('FRI report'!D7:H7="","",'FRI report'!D7:H7)</f>
        <v>XXBFNO6</v>
      </c>
      <c r="E7" s="184"/>
      <c r="F7" s="184"/>
      <c r="G7" s="184"/>
      <c r="H7" s="184"/>
      <c r="I7" s="168" t="s">
        <v>19</v>
      </c>
      <c r="J7" s="118"/>
      <c r="K7" s="118"/>
      <c r="L7" s="232">
        <f>IF('FRI report'!L7:Q7="","",'FRI report'!L7:Q7)</f>
        <v>46046</v>
      </c>
      <c r="M7" s="120"/>
      <c r="N7" s="120"/>
      <c r="O7" s="120"/>
      <c r="P7" s="120"/>
      <c r="Q7" s="120"/>
      <c r="R7" s="168" t="s">
        <v>20</v>
      </c>
      <c r="S7" s="118"/>
      <c r="T7" s="118"/>
      <c r="U7" s="230" t="str">
        <f>IF('FRI report'!U7:Y7="","",'FRI report'!U7:Y7)</f>
        <v>88907PCS</v>
      </c>
      <c r="V7" s="184"/>
      <c r="W7" s="184"/>
      <c r="X7" s="184"/>
      <c r="Y7" s="184"/>
    </row>
    <row r="8" spans="1:29" ht="12" customHeight="1">
      <c r="A8" s="168"/>
      <c r="B8" s="118"/>
      <c r="C8" s="118"/>
      <c r="D8" s="233"/>
      <c r="E8" s="129"/>
      <c r="F8" s="129"/>
      <c r="G8" s="129"/>
      <c r="H8" s="129"/>
      <c r="I8" s="117"/>
      <c r="J8" s="118"/>
      <c r="K8" s="118"/>
      <c r="L8" s="128"/>
      <c r="M8" s="129"/>
      <c r="N8" s="129"/>
      <c r="O8" s="129"/>
      <c r="P8" s="129"/>
      <c r="Q8" s="129"/>
      <c r="R8" s="168" t="s">
        <v>24</v>
      </c>
      <c r="S8" s="118"/>
      <c r="T8" s="118"/>
      <c r="U8" s="229" t="str">
        <f>IF('FRI report'!U8:Y8="","",'FRI report'!U8:Y8)</f>
        <v>9928-539898(1st lot)</v>
      </c>
      <c r="V8" s="184"/>
      <c r="W8" s="184"/>
      <c r="X8" s="184"/>
      <c r="Y8" s="184"/>
      <c r="AA8" s="34"/>
      <c r="AB8" s="12"/>
      <c r="AC8" s="12"/>
    </row>
    <row r="9" spans="1:29" ht="12" customHeight="1">
      <c r="A9" s="168" t="s">
        <v>26</v>
      </c>
      <c r="B9" s="118"/>
      <c r="C9" s="118"/>
      <c r="D9" s="229" t="str">
        <f>IF('FRI report'!D9:Y9="","",'FRI report'!D9:Y9)</f>
        <v>XX-ABC-68878-C</v>
      </c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</row>
    <row r="10" spans="1:29" ht="12" customHeight="1">
      <c r="A10" s="168" t="s">
        <v>28</v>
      </c>
      <c r="B10" s="118"/>
      <c r="C10" s="118"/>
      <c r="D10" s="229" t="str">
        <f>IF('FRI report'!D10:Y10="","",'FRI report'!D10:Y10)</f>
        <v>Standard Component Assembly with Seal Insert</v>
      </c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</row>
    <row r="11" spans="1:29" ht="5.0999999999999996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5"/>
      <c r="P11" s="13"/>
      <c r="Q11" s="15"/>
      <c r="R11" s="13"/>
      <c r="S11" s="15"/>
      <c r="T11" s="15"/>
      <c r="U11" s="13"/>
      <c r="V11" s="13"/>
      <c r="W11" s="13"/>
      <c r="X11" s="13"/>
      <c r="Y11" s="13"/>
    </row>
    <row r="12" spans="1:29" ht="10.5" customHeight="1">
      <c r="A12" s="231" t="s">
        <v>196</v>
      </c>
      <c r="B12" s="118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9" ht="10.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9" ht="10.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9" ht="10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1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9" ht="10.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10.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0.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0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1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0.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0.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0.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0.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0.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0.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0.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0.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0.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0.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0.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0.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0.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0.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0.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0.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0.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0.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0.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0.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0.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0.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0.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0.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0.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0.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0.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0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0.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0.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0.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0.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0.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0.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10.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0.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10.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0.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0.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0.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0.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0.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0.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0.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0.5" customHeight="1"/>
    <row r="65" ht="10.5" customHeight="1"/>
    <row r="66" ht="10.5" customHeight="1"/>
    <row r="67" ht="10.5" customHeight="1"/>
    <row r="68" ht="10.5" customHeight="1"/>
    <row r="69" ht="10.5" customHeight="1"/>
    <row r="70" ht="10.5" customHeight="1"/>
    <row r="71" ht="10.5" customHeight="1"/>
    <row r="72" ht="10.5" customHeight="1"/>
    <row r="73" ht="10.5" customHeight="1"/>
    <row r="74" ht="10.5" customHeight="1"/>
    <row r="75" ht="10.5" customHeight="1"/>
    <row r="76" ht="10.5" customHeight="1"/>
    <row r="77" ht="10.5" customHeight="1"/>
    <row r="78" ht="10.5" customHeight="1"/>
    <row r="79" ht="10.5" customHeight="1"/>
    <row r="80" ht="10.5" customHeight="1"/>
    <row r="81" ht="10.5" customHeight="1"/>
    <row r="82" ht="10.5" customHeight="1"/>
    <row r="83" ht="10.5" customHeight="1"/>
    <row r="84" ht="10.5" customHeight="1"/>
    <row r="85" ht="10.5" customHeight="1"/>
    <row r="86" ht="10.5" customHeight="1"/>
    <row r="87" ht="10.5" customHeight="1"/>
    <row r="88" ht="10.5" customHeight="1"/>
    <row r="89" ht="10.5" customHeight="1"/>
    <row r="90" ht="10.5" customHeight="1"/>
    <row r="91" ht="10.5" customHeight="1"/>
    <row r="92" ht="10.5" customHeight="1"/>
    <row r="93" ht="10.5" customHeight="1"/>
    <row r="94" ht="10.5" customHeight="1"/>
    <row r="95" ht="10.5" customHeight="1"/>
    <row r="96" ht="10.5" customHeight="1"/>
    <row r="97" ht="10.5" customHeight="1"/>
    <row r="98" ht="10.5" customHeight="1"/>
    <row r="99" ht="10.5" customHeight="1"/>
    <row r="100" ht="10.5" customHeight="1"/>
    <row r="101" ht="10.5" customHeight="1"/>
    <row r="102" ht="10.5" customHeight="1"/>
    <row r="103" ht="10.5" customHeight="1"/>
    <row r="104" ht="10.5" customHeight="1"/>
    <row r="105" ht="10.5" customHeight="1"/>
    <row r="106" ht="10.5" customHeight="1"/>
    <row r="107" ht="10.5" customHeight="1"/>
    <row r="108" ht="10.5" customHeight="1"/>
    <row r="109" ht="10.5" customHeight="1"/>
    <row r="110" ht="10.5" customHeight="1"/>
    <row r="111" ht="10.5" customHeight="1"/>
    <row r="112" ht="10.5" customHeight="1"/>
    <row r="113" ht="10.5" customHeight="1"/>
    <row r="114" ht="10.5" customHeight="1"/>
    <row r="115" ht="10.5" customHeight="1"/>
    <row r="116" ht="10.5" customHeight="1"/>
    <row r="117" ht="10.5" customHeight="1"/>
    <row r="118" ht="10.5" customHeight="1"/>
    <row r="119" ht="10.5" customHeight="1"/>
    <row r="120" ht="10.5" customHeight="1"/>
    <row r="121" ht="10.5" customHeight="1"/>
    <row r="122" ht="10.5" customHeight="1"/>
    <row r="123" ht="10.5" customHeight="1"/>
    <row r="124" ht="10.5" customHeight="1"/>
    <row r="125" ht="10.5" customHeight="1"/>
    <row r="126" ht="10.5" customHeight="1"/>
    <row r="127" ht="10.5" customHeight="1"/>
    <row r="128" ht="10.5" customHeight="1"/>
    <row r="129" ht="10.5" customHeight="1"/>
    <row r="130" ht="10.5" customHeight="1"/>
    <row r="131" ht="10.5" customHeight="1"/>
    <row r="132" ht="10.5" customHeight="1"/>
    <row r="133" ht="10.5" customHeight="1"/>
    <row r="134" ht="10.5" customHeight="1"/>
    <row r="135" ht="10.5" customHeight="1"/>
    <row r="136" ht="10.5" customHeight="1"/>
    <row r="137" ht="10.5" customHeight="1"/>
    <row r="138" ht="10.5" customHeight="1"/>
    <row r="139" ht="10.5" customHeight="1"/>
    <row r="140" ht="10.5" customHeight="1"/>
    <row r="141" ht="10.5" customHeight="1"/>
    <row r="142" ht="10.5" customHeight="1"/>
    <row r="143" ht="10.5" customHeight="1"/>
    <row r="144" ht="10.5" customHeight="1"/>
    <row r="145" ht="10.5" customHeight="1"/>
    <row r="146" ht="10.5" customHeight="1"/>
    <row r="147" ht="10.5" customHeight="1"/>
    <row r="148" ht="10.5" customHeight="1"/>
    <row r="149" ht="10.5" customHeight="1"/>
    <row r="150" ht="10.5" customHeight="1"/>
    <row r="151" ht="10.5" customHeight="1"/>
    <row r="152" ht="10.5" customHeight="1"/>
    <row r="153" ht="10.5" customHeight="1"/>
    <row r="154" ht="10.5" customHeight="1"/>
    <row r="155" ht="10.5" customHeight="1"/>
    <row r="156" ht="10.5" customHeight="1"/>
    <row r="157" ht="10.5" customHeight="1"/>
    <row r="158" ht="10.5" customHeight="1"/>
    <row r="159" ht="10.5" customHeight="1"/>
    <row r="160" ht="10.5" customHeight="1"/>
    <row r="161" ht="10.5" customHeight="1"/>
    <row r="162" ht="10.5" customHeight="1"/>
    <row r="163" ht="10.5" customHeight="1"/>
    <row r="164" ht="10.5" customHeight="1"/>
    <row r="165" ht="10.5" customHeight="1"/>
    <row r="166" ht="10.5" customHeight="1"/>
    <row r="167" ht="10.5" customHeight="1"/>
    <row r="168" ht="10.5" customHeight="1"/>
    <row r="169" ht="10.5" customHeight="1"/>
    <row r="170" ht="10.5" customHeight="1"/>
    <row r="171" ht="10.5" customHeight="1"/>
    <row r="172" ht="10.5" customHeight="1"/>
    <row r="173" ht="10.5" customHeight="1"/>
    <row r="174" ht="10.5" customHeight="1"/>
    <row r="175" ht="10.5" customHeight="1"/>
    <row r="176" ht="10.5" customHeight="1"/>
    <row r="177" ht="10.5" customHeight="1"/>
    <row r="178" ht="10.5" customHeight="1"/>
    <row r="179" ht="10.5" customHeight="1"/>
    <row r="180" ht="10.5" customHeight="1"/>
    <row r="181" ht="10.5" customHeight="1"/>
    <row r="182" ht="10.5" customHeight="1"/>
    <row r="183" ht="10.5" customHeight="1"/>
    <row r="184" ht="10.5" customHeight="1"/>
    <row r="185" ht="10.5" customHeight="1"/>
    <row r="186" ht="10.5" customHeight="1"/>
    <row r="187" ht="10.5" customHeight="1"/>
    <row r="188" ht="10.5" customHeight="1"/>
    <row r="189" ht="10.5" customHeight="1"/>
    <row r="190" ht="10.5" customHeight="1"/>
    <row r="191" ht="10.5" customHeight="1"/>
    <row r="192" ht="10.5" customHeight="1"/>
    <row r="193" ht="10.5" customHeight="1"/>
    <row r="194" ht="10.5" customHeight="1"/>
    <row r="195" ht="10.5" customHeight="1"/>
    <row r="196" ht="10.5" customHeight="1"/>
    <row r="197" ht="10.5" customHeight="1"/>
    <row r="198" ht="10.5" customHeight="1"/>
    <row r="199" ht="10.5" customHeight="1"/>
    <row r="200" ht="10.5" customHeight="1"/>
    <row r="201" ht="10.5" customHeight="1"/>
    <row r="202" ht="10.5" customHeight="1"/>
    <row r="203" ht="10.5" customHeight="1"/>
    <row r="204" ht="10.5" customHeight="1"/>
    <row r="205" ht="10.5" customHeight="1"/>
    <row r="206" ht="10.5" customHeight="1"/>
    <row r="207" ht="10.5" customHeight="1"/>
    <row r="208" ht="10.5" customHeight="1"/>
    <row r="209" ht="10.5" customHeight="1"/>
    <row r="210" ht="10.5" customHeight="1"/>
    <row r="211" ht="10.5" customHeight="1"/>
    <row r="212" ht="10.5" customHeight="1"/>
    <row r="213" ht="10.5" customHeight="1"/>
    <row r="214" ht="10.5" customHeight="1"/>
    <row r="215" ht="10.5" customHeight="1"/>
    <row r="216" ht="10.5" customHeight="1"/>
    <row r="217" ht="10.5" customHeight="1"/>
    <row r="218" ht="10.5" customHeight="1"/>
    <row r="219" ht="10.5" customHeight="1"/>
    <row r="220" ht="10.5" customHeight="1"/>
    <row r="221" ht="10.5" customHeight="1"/>
    <row r="222" ht="10.5" customHeight="1"/>
    <row r="223" ht="10.5" customHeight="1"/>
    <row r="224" ht="10.5" customHeight="1"/>
    <row r="225" ht="10.5" customHeight="1"/>
    <row r="226" ht="10.5" customHeight="1"/>
    <row r="227" ht="10.5" customHeight="1"/>
    <row r="228" ht="10.5" customHeight="1"/>
    <row r="229" ht="10.5" customHeight="1"/>
    <row r="230" ht="10.5" customHeight="1"/>
    <row r="231" ht="10.5" customHeight="1"/>
    <row r="232" ht="10.5" customHeight="1"/>
    <row r="233" ht="10.5" customHeight="1"/>
    <row r="234" ht="10.5" customHeight="1"/>
    <row r="235" ht="10.5" customHeight="1"/>
    <row r="236" ht="10.5" customHeight="1"/>
    <row r="237" ht="10.5" customHeight="1"/>
    <row r="238" ht="10.5" customHeight="1"/>
    <row r="239" ht="10.5" customHeight="1"/>
    <row r="240" ht="10.5" customHeight="1"/>
    <row r="241" ht="10.5" customHeight="1"/>
    <row r="242" ht="10.5" customHeight="1"/>
    <row r="243" ht="10.5" customHeight="1"/>
    <row r="244" ht="10.5" customHeight="1"/>
    <row r="245" ht="10.5" customHeight="1"/>
    <row r="246" ht="10.5" customHeight="1"/>
    <row r="247" ht="10.5" customHeight="1"/>
    <row r="248" ht="10.5" customHeight="1"/>
    <row r="249" ht="10.5" customHeight="1"/>
    <row r="250" ht="10.5" customHeight="1"/>
    <row r="251" ht="10.5" customHeight="1"/>
    <row r="252" ht="10.5" customHeight="1"/>
    <row r="253" ht="10.5" customHeight="1"/>
    <row r="254" ht="10.5" customHeight="1"/>
    <row r="255" ht="10.5" customHeight="1"/>
    <row r="256" ht="10.5" customHeight="1"/>
    <row r="257" ht="10.5" customHeight="1"/>
    <row r="258" ht="10.5" customHeight="1"/>
    <row r="259" ht="10.5" customHeight="1"/>
    <row r="260" ht="10.5" customHeight="1"/>
    <row r="261" ht="10.5" customHeight="1"/>
    <row r="262" ht="10.5" customHeight="1"/>
    <row r="263" ht="10.5" customHeight="1"/>
    <row r="264" ht="10.5" customHeight="1"/>
    <row r="265" ht="10.5" customHeight="1"/>
    <row r="266" ht="10.5" customHeight="1"/>
    <row r="267" ht="10.5" customHeight="1"/>
    <row r="268" ht="10.5" customHeight="1"/>
    <row r="269" ht="10.5" customHeight="1"/>
    <row r="270" ht="10.5" customHeight="1"/>
    <row r="271" ht="10.5" customHeight="1"/>
    <row r="272" ht="10.5" customHeight="1"/>
    <row r="273" ht="10.5" customHeight="1"/>
    <row r="274" ht="10.5" customHeight="1"/>
    <row r="275" ht="10.5" customHeight="1"/>
    <row r="276" ht="10.5" customHeight="1"/>
    <row r="277" ht="10.5" customHeight="1"/>
    <row r="278" ht="10.5" customHeight="1"/>
    <row r="279" ht="10.5" customHeight="1"/>
    <row r="280" ht="10.5" customHeight="1"/>
    <row r="281" ht="10.5" customHeight="1"/>
    <row r="282" ht="10.5" customHeight="1"/>
    <row r="283" ht="10.5" customHeight="1"/>
    <row r="284" ht="10.5" customHeight="1"/>
    <row r="285" ht="10.5" customHeight="1"/>
    <row r="286" ht="10.5" customHeight="1"/>
    <row r="287" ht="10.5" customHeight="1"/>
    <row r="288" ht="10.5" customHeight="1"/>
    <row r="289" ht="10.5" customHeight="1"/>
    <row r="290" ht="10.5" customHeight="1"/>
    <row r="291" ht="10.5" customHeight="1"/>
    <row r="292" ht="10.5" customHeight="1"/>
    <row r="293" ht="10.5" customHeight="1"/>
    <row r="294" ht="10.5" customHeight="1"/>
    <row r="295" ht="10.5" customHeight="1"/>
    <row r="296" ht="10.5" customHeight="1"/>
    <row r="297" ht="10.5" customHeight="1"/>
    <row r="298" ht="10.5" customHeight="1"/>
    <row r="299" ht="10.5" customHeight="1"/>
    <row r="300" ht="10.5" customHeight="1"/>
    <row r="301" ht="10.5" customHeight="1"/>
    <row r="302" ht="10.5" customHeight="1"/>
    <row r="303" ht="10.5" customHeight="1"/>
    <row r="304" ht="10.5" customHeight="1"/>
    <row r="305" ht="10.5" customHeight="1"/>
    <row r="306" ht="10.5" customHeight="1"/>
    <row r="307" ht="10.5" customHeight="1"/>
    <row r="308" ht="10.5" customHeight="1"/>
    <row r="309" ht="10.5" customHeight="1"/>
    <row r="310" ht="10.5" customHeight="1"/>
    <row r="311" ht="10.5" customHeight="1"/>
    <row r="312" ht="10.5" customHeight="1"/>
    <row r="313" ht="10.5" customHeight="1"/>
    <row r="314" ht="10.5" customHeight="1"/>
    <row r="315" ht="10.5" customHeight="1"/>
    <row r="316" ht="10.5" customHeight="1"/>
    <row r="317" ht="10.5" customHeight="1"/>
    <row r="318" ht="10.5" customHeight="1"/>
    <row r="319" ht="10.5" customHeight="1"/>
    <row r="320" ht="10.5" customHeight="1"/>
    <row r="321" ht="10.5" customHeight="1"/>
    <row r="322" ht="10.5" customHeight="1"/>
    <row r="323" ht="10.5" customHeight="1"/>
    <row r="324" ht="10.5" customHeight="1"/>
    <row r="325" ht="10.5" customHeight="1"/>
    <row r="326" ht="10.5" customHeight="1"/>
    <row r="327" ht="10.5" customHeight="1"/>
    <row r="328" ht="10.5" customHeight="1"/>
    <row r="329" ht="10.5" customHeight="1"/>
    <row r="330" ht="10.5" customHeight="1"/>
    <row r="331" ht="10.5" customHeight="1"/>
    <row r="332" ht="10.5" customHeight="1"/>
    <row r="333" ht="10.5" customHeight="1"/>
    <row r="334" ht="10.5" customHeight="1"/>
    <row r="335" ht="10.5" customHeight="1"/>
    <row r="336" ht="10.5" customHeight="1"/>
    <row r="337" ht="10.5" customHeight="1"/>
    <row r="338" ht="10.5" customHeight="1"/>
    <row r="339" ht="10.5" customHeight="1"/>
    <row r="340" ht="10.5" customHeight="1"/>
    <row r="341" ht="10.5" customHeight="1"/>
  </sheetData>
  <mergeCells count="35">
    <mergeCell ref="A12:B12"/>
    <mergeCell ref="A10:C10"/>
    <mergeCell ref="D10:Y10"/>
    <mergeCell ref="D7:H7"/>
    <mergeCell ref="U7:Y7"/>
    <mergeCell ref="A9:C9"/>
    <mergeCell ref="A7:C7"/>
    <mergeCell ref="R8:T8"/>
    <mergeCell ref="L7:Q7"/>
    <mergeCell ref="U8:Y8"/>
    <mergeCell ref="D8:H8"/>
    <mergeCell ref="R7:T7"/>
    <mergeCell ref="I7:K7"/>
    <mergeCell ref="A5:C5"/>
    <mergeCell ref="I5:K5"/>
    <mergeCell ref="A8:C8"/>
    <mergeCell ref="I8:K8"/>
    <mergeCell ref="I4:K4"/>
    <mergeCell ref="A4:C4"/>
    <mergeCell ref="D4:H4"/>
    <mergeCell ref="I6:K6"/>
    <mergeCell ref="A6:C6"/>
    <mergeCell ref="D5:H5"/>
    <mergeCell ref="L5:Q5"/>
    <mergeCell ref="U6:Y6"/>
    <mergeCell ref="L8:Q8"/>
    <mergeCell ref="D9:Y9"/>
    <mergeCell ref="L4:Q4"/>
    <mergeCell ref="D6:H6"/>
    <mergeCell ref="L6:Q6"/>
    <mergeCell ref="R5:T5"/>
    <mergeCell ref="R4:T4"/>
    <mergeCell ref="U5:Y5"/>
    <mergeCell ref="U4:Y4"/>
    <mergeCell ref="R6:T6"/>
  </mergeCells>
  <printOptions horizontalCentered="1"/>
  <pageMargins left="0.4" right="0.4" top="0.3" bottom="0.5" header="0.3" footer="0.25"/>
  <pageSetup paperSize="9" scale="95" fitToHeight="4" orientation="portrait"/>
  <headerFooter>
    <oddFooter>&amp;L&amp;6 Doc#: FIR-003.5
Effective: 20171109&amp;C&amp;"Arial,Regular"&amp;6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C906"/>
  <sheetViews>
    <sheetView workbookViewId="0">
      <selection activeCell="B6" sqref="B6"/>
    </sheetView>
  </sheetViews>
  <sheetFormatPr defaultRowHeight="14.4"/>
  <cols>
    <col min="1" max="1" width="40" style="96" customWidth="1"/>
    <col min="2" max="2" width="68.21875" style="96" customWidth="1"/>
    <col min="3" max="3" width="50.88671875" style="96" customWidth="1"/>
  </cols>
  <sheetData>
    <row r="1" spans="1:3">
      <c r="A1" t="s">
        <v>197</v>
      </c>
      <c r="B1" t="s">
        <v>198</v>
      </c>
      <c r="C1" t="s">
        <v>199</v>
      </c>
    </row>
    <row r="2" spans="1:3">
      <c r="A2" t="s">
        <v>200</v>
      </c>
      <c r="B2" t="s">
        <v>201</v>
      </c>
      <c r="C2" t="s">
        <v>202</v>
      </c>
    </row>
    <row r="3" spans="1:3">
      <c r="A3" t="s">
        <v>203</v>
      </c>
      <c r="B3" t="s">
        <v>204</v>
      </c>
      <c r="C3" t="s">
        <v>205</v>
      </c>
    </row>
    <row r="4" spans="1:3">
      <c r="A4" t="s">
        <v>206</v>
      </c>
      <c r="B4" t="s">
        <v>207</v>
      </c>
      <c r="C4" t="s">
        <v>208</v>
      </c>
    </row>
    <row r="5" spans="1:3">
      <c r="A5" t="s">
        <v>209</v>
      </c>
      <c r="B5" t="s">
        <v>210</v>
      </c>
      <c r="C5" t="s">
        <v>211</v>
      </c>
    </row>
    <row r="6" spans="1:3">
      <c r="A6" t="s">
        <v>212</v>
      </c>
      <c r="B6" t="s">
        <v>129</v>
      </c>
      <c r="C6" t="s">
        <v>213</v>
      </c>
    </row>
    <row r="7" spans="1:3">
      <c r="A7" t="s">
        <v>214</v>
      </c>
      <c r="B7" t="s">
        <v>215</v>
      </c>
      <c r="C7" t="s">
        <v>216</v>
      </c>
    </row>
    <row r="8" spans="1:3">
      <c r="A8" t="s">
        <v>217</v>
      </c>
      <c r="B8" t="s">
        <v>218</v>
      </c>
      <c r="C8" t="s">
        <v>219</v>
      </c>
    </row>
    <row r="9" spans="1:3">
      <c r="A9" t="s">
        <v>220</v>
      </c>
      <c r="B9" t="s">
        <v>80</v>
      </c>
      <c r="C9" t="s">
        <v>221</v>
      </c>
    </row>
    <row r="10" spans="1:3">
      <c r="A10" t="s">
        <v>222</v>
      </c>
      <c r="B10" t="s">
        <v>223</v>
      </c>
      <c r="C10" t="s">
        <v>224</v>
      </c>
    </row>
    <row r="11" spans="1:3">
      <c r="A11" t="s">
        <v>225</v>
      </c>
      <c r="B11" t="s">
        <v>226</v>
      </c>
      <c r="C11" t="s">
        <v>227</v>
      </c>
    </row>
    <row r="12" spans="1:3">
      <c r="A12" t="s">
        <v>228</v>
      </c>
      <c r="B12" t="s">
        <v>229</v>
      </c>
      <c r="C12" t="s">
        <v>230</v>
      </c>
    </row>
    <row r="13" spans="1:3">
      <c r="A13" t="s">
        <v>231</v>
      </c>
      <c r="B13" t="s">
        <v>232</v>
      </c>
      <c r="C13" t="s">
        <v>233</v>
      </c>
    </row>
    <row r="14" spans="1:3">
      <c r="A14" t="s">
        <v>234</v>
      </c>
      <c r="B14" t="s">
        <v>235</v>
      </c>
      <c r="C14" t="s">
        <v>236</v>
      </c>
    </row>
    <row r="15" spans="1:3">
      <c r="A15" t="s">
        <v>237</v>
      </c>
      <c r="B15" t="s">
        <v>73</v>
      </c>
      <c r="C15" t="s">
        <v>238</v>
      </c>
    </row>
    <row r="16" spans="1:3">
      <c r="A16" t="s">
        <v>239</v>
      </c>
      <c r="B16" t="s">
        <v>240</v>
      </c>
      <c r="C16" t="s">
        <v>241</v>
      </c>
    </row>
    <row r="17" spans="1:3">
      <c r="A17" t="s">
        <v>242</v>
      </c>
      <c r="B17" t="s">
        <v>243</v>
      </c>
      <c r="C17" t="s">
        <v>244</v>
      </c>
    </row>
    <row r="18" spans="1:3">
      <c r="A18" t="s">
        <v>245</v>
      </c>
      <c r="B18" t="s">
        <v>246</v>
      </c>
      <c r="C18" t="s">
        <v>247</v>
      </c>
    </row>
    <row r="19" spans="1:3">
      <c r="A19" t="s">
        <v>248</v>
      </c>
      <c r="B19" t="s">
        <v>164</v>
      </c>
      <c r="C19" t="s">
        <v>249</v>
      </c>
    </row>
    <row r="20" spans="1:3">
      <c r="A20" t="s">
        <v>250</v>
      </c>
      <c r="B20" t="s">
        <v>251</v>
      </c>
      <c r="C20" t="s">
        <v>252</v>
      </c>
    </row>
    <row r="21" spans="1:3">
      <c r="A21" t="s">
        <v>253</v>
      </c>
      <c r="B21" t="s">
        <v>254</v>
      </c>
      <c r="C21" t="s">
        <v>255</v>
      </c>
    </row>
    <row r="22" spans="1:3">
      <c r="A22" t="s">
        <v>256</v>
      </c>
      <c r="B22" t="s">
        <v>257</v>
      </c>
      <c r="C22" t="s">
        <v>258</v>
      </c>
    </row>
    <row r="23" spans="1:3">
      <c r="A23" t="s">
        <v>259</v>
      </c>
      <c r="B23" t="s">
        <v>159</v>
      </c>
      <c r="C23" t="s">
        <v>260</v>
      </c>
    </row>
    <row r="24" spans="1:3">
      <c r="A24" t="s">
        <v>261</v>
      </c>
      <c r="B24" t="s">
        <v>262</v>
      </c>
      <c r="C24" t="s">
        <v>263</v>
      </c>
    </row>
    <row r="25" spans="1:3">
      <c r="A25" t="s">
        <v>264</v>
      </c>
      <c r="B25" t="s">
        <v>265</v>
      </c>
      <c r="C25" t="s">
        <v>266</v>
      </c>
    </row>
    <row r="26" spans="1:3">
      <c r="A26" t="s">
        <v>267</v>
      </c>
      <c r="B26" t="s">
        <v>268</v>
      </c>
      <c r="C26" t="s">
        <v>269</v>
      </c>
    </row>
    <row r="27" spans="1:3">
      <c r="A27" t="s">
        <v>270</v>
      </c>
      <c r="B27" t="s">
        <v>271</v>
      </c>
      <c r="C27" t="s">
        <v>272</v>
      </c>
    </row>
    <row r="28" spans="1:3">
      <c r="A28" t="s">
        <v>273</v>
      </c>
      <c r="B28" t="s">
        <v>274</v>
      </c>
      <c r="C28" t="s">
        <v>275</v>
      </c>
    </row>
    <row r="29" spans="1:3">
      <c r="A29" t="s">
        <v>276</v>
      </c>
      <c r="B29" t="s">
        <v>277</v>
      </c>
      <c r="C29" t="s">
        <v>278</v>
      </c>
    </row>
    <row r="30" spans="1:3">
      <c r="A30" t="s">
        <v>279</v>
      </c>
      <c r="B30" t="s">
        <v>280</v>
      </c>
      <c r="C30" t="s">
        <v>281</v>
      </c>
    </row>
    <row r="31" spans="1:3">
      <c r="A31" t="s">
        <v>282</v>
      </c>
      <c r="B31" t="s">
        <v>283</v>
      </c>
      <c r="C31" t="s">
        <v>284</v>
      </c>
    </row>
    <row r="32" spans="1:3">
      <c r="A32" t="s">
        <v>285</v>
      </c>
      <c r="B32" t="s">
        <v>286</v>
      </c>
      <c r="C32" t="s">
        <v>287</v>
      </c>
    </row>
    <row r="33" spans="1:3">
      <c r="A33" t="s">
        <v>288</v>
      </c>
      <c r="B33" t="s">
        <v>289</v>
      </c>
      <c r="C33" t="s">
        <v>290</v>
      </c>
    </row>
    <row r="34" spans="1:3">
      <c r="A34" t="s">
        <v>291</v>
      </c>
      <c r="B34" t="s">
        <v>292</v>
      </c>
      <c r="C34" t="s">
        <v>293</v>
      </c>
    </row>
    <row r="35" spans="1:3">
      <c r="A35" t="s">
        <v>294</v>
      </c>
      <c r="B35" t="s">
        <v>295</v>
      </c>
      <c r="C35" t="s">
        <v>296</v>
      </c>
    </row>
    <row r="36" spans="1:3">
      <c r="A36" t="s">
        <v>297</v>
      </c>
      <c r="B36" t="s">
        <v>298</v>
      </c>
      <c r="C36" t="s">
        <v>299</v>
      </c>
    </row>
    <row r="37" spans="1:3">
      <c r="A37" t="s">
        <v>300</v>
      </c>
      <c r="B37" t="s">
        <v>301</v>
      </c>
      <c r="C37" t="s">
        <v>302</v>
      </c>
    </row>
    <row r="38" spans="1:3">
      <c r="A38" t="s">
        <v>303</v>
      </c>
      <c r="B38" t="s">
        <v>304</v>
      </c>
      <c r="C38" t="s">
        <v>305</v>
      </c>
    </row>
    <row r="39" spans="1:3">
      <c r="A39" t="s">
        <v>306</v>
      </c>
      <c r="B39" t="s">
        <v>307</v>
      </c>
      <c r="C39" t="s">
        <v>308</v>
      </c>
    </row>
    <row r="40" spans="1:3">
      <c r="A40" t="s">
        <v>309</v>
      </c>
      <c r="B40" t="s">
        <v>310</v>
      </c>
      <c r="C40" t="s">
        <v>311</v>
      </c>
    </row>
    <row r="41" spans="1:3">
      <c r="A41" t="s">
        <v>312</v>
      </c>
      <c r="B41" t="s">
        <v>313</v>
      </c>
      <c r="C41" t="s">
        <v>314</v>
      </c>
    </row>
    <row r="42" spans="1:3">
      <c r="A42" t="s">
        <v>315</v>
      </c>
      <c r="B42" t="s">
        <v>316</v>
      </c>
      <c r="C42" t="s">
        <v>317</v>
      </c>
    </row>
    <row r="43" spans="1:3">
      <c r="A43" t="s">
        <v>318</v>
      </c>
      <c r="B43" t="s">
        <v>319</v>
      </c>
      <c r="C43" t="s">
        <v>320</v>
      </c>
    </row>
    <row r="44" spans="1:3">
      <c r="A44" t="s">
        <v>321</v>
      </c>
      <c r="B44" t="s">
        <v>322</v>
      </c>
      <c r="C44" t="s">
        <v>323</v>
      </c>
    </row>
    <row r="45" spans="1:3">
      <c r="A45" t="s">
        <v>324</v>
      </c>
      <c r="B45" t="s">
        <v>325</v>
      </c>
      <c r="C45" t="s">
        <v>326</v>
      </c>
    </row>
    <row r="46" spans="1:3">
      <c r="A46" t="s">
        <v>327</v>
      </c>
      <c r="B46" t="s">
        <v>328</v>
      </c>
      <c r="C46" t="s">
        <v>329</v>
      </c>
    </row>
    <row r="47" spans="1:3">
      <c r="A47" t="s">
        <v>330</v>
      </c>
      <c r="B47" t="s">
        <v>331</v>
      </c>
      <c r="C47" t="s">
        <v>332</v>
      </c>
    </row>
    <row r="48" spans="1:3">
      <c r="A48" t="s">
        <v>333</v>
      </c>
      <c r="B48" t="s">
        <v>334</v>
      </c>
      <c r="C48" t="s">
        <v>335</v>
      </c>
    </row>
    <row r="49" spans="1:3">
      <c r="A49" t="s">
        <v>336</v>
      </c>
      <c r="B49" t="s">
        <v>337</v>
      </c>
      <c r="C49" t="s">
        <v>338</v>
      </c>
    </row>
    <row r="50" spans="1:3">
      <c r="A50" t="s">
        <v>339</v>
      </c>
      <c r="B50" t="s">
        <v>340</v>
      </c>
      <c r="C50" t="s">
        <v>341</v>
      </c>
    </row>
    <row r="51" spans="1:3">
      <c r="A51" t="s">
        <v>342</v>
      </c>
      <c r="B51" t="s">
        <v>343</v>
      </c>
      <c r="C51" t="s">
        <v>344</v>
      </c>
    </row>
    <row r="52" spans="1:3">
      <c r="A52" t="s">
        <v>345</v>
      </c>
      <c r="B52" t="s">
        <v>346</v>
      </c>
      <c r="C52" t="s">
        <v>347</v>
      </c>
    </row>
    <row r="53" spans="1:3">
      <c r="A53" t="s">
        <v>348</v>
      </c>
      <c r="B53" t="s">
        <v>349</v>
      </c>
      <c r="C53" t="s">
        <v>350</v>
      </c>
    </row>
    <row r="54" spans="1:3">
      <c r="A54" t="s">
        <v>351</v>
      </c>
      <c r="B54" t="s">
        <v>352</v>
      </c>
      <c r="C54" t="s">
        <v>353</v>
      </c>
    </row>
    <row r="55" spans="1:3">
      <c r="B55" t="s">
        <v>354</v>
      </c>
      <c r="C55" t="s">
        <v>355</v>
      </c>
    </row>
    <row r="56" spans="1:3">
      <c r="B56" t="s">
        <v>356</v>
      </c>
      <c r="C56" t="s">
        <v>357</v>
      </c>
    </row>
    <row r="57" spans="1:3">
      <c r="B57" t="s">
        <v>358</v>
      </c>
      <c r="C57" t="s">
        <v>359</v>
      </c>
    </row>
    <row r="58" spans="1:3">
      <c r="B58" t="s">
        <v>360</v>
      </c>
      <c r="C58" t="s">
        <v>361</v>
      </c>
    </row>
    <row r="59" spans="1:3">
      <c r="B59" t="s">
        <v>362</v>
      </c>
      <c r="C59" t="s">
        <v>363</v>
      </c>
    </row>
    <row r="60" spans="1:3">
      <c r="B60" t="s">
        <v>364</v>
      </c>
      <c r="C60" t="s">
        <v>365</v>
      </c>
    </row>
    <row r="61" spans="1:3">
      <c r="B61" t="s">
        <v>366</v>
      </c>
      <c r="C61" t="s">
        <v>367</v>
      </c>
    </row>
    <row r="62" spans="1:3">
      <c r="B62" t="s">
        <v>368</v>
      </c>
      <c r="C62" t="s">
        <v>369</v>
      </c>
    </row>
    <row r="63" spans="1:3">
      <c r="B63" t="s">
        <v>370</v>
      </c>
      <c r="C63" t="s">
        <v>371</v>
      </c>
    </row>
    <row r="64" spans="1:3">
      <c r="B64" t="s">
        <v>372</v>
      </c>
      <c r="C64" t="s">
        <v>373</v>
      </c>
    </row>
    <row r="65" spans="2:3">
      <c r="B65" t="s">
        <v>374</v>
      </c>
      <c r="C65" t="s">
        <v>375</v>
      </c>
    </row>
    <row r="66" spans="2:3">
      <c r="B66" t="s">
        <v>376</v>
      </c>
      <c r="C66" t="s">
        <v>377</v>
      </c>
    </row>
    <row r="67" spans="2:3">
      <c r="B67" t="s">
        <v>378</v>
      </c>
      <c r="C67" t="s">
        <v>379</v>
      </c>
    </row>
    <row r="68" spans="2:3">
      <c r="B68" t="s">
        <v>380</v>
      </c>
      <c r="C68" t="s">
        <v>381</v>
      </c>
    </row>
    <row r="69" spans="2:3">
      <c r="B69" t="s">
        <v>382</v>
      </c>
      <c r="C69" t="s">
        <v>383</v>
      </c>
    </row>
    <row r="70" spans="2:3">
      <c r="B70" t="s">
        <v>384</v>
      </c>
      <c r="C70" t="s">
        <v>385</v>
      </c>
    </row>
    <row r="71" spans="2:3">
      <c r="B71" t="s">
        <v>386</v>
      </c>
      <c r="C71" t="s">
        <v>387</v>
      </c>
    </row>
    <row r="72" spans="2:3">
      <c r="B72" t="s">
        <v>388</v>
      </c>
      <c r="C72" t="s">
        <v>389</v>
      </c>
    </row>
    <row r="73" spans="2:3">
      <c r="B73" t="s">
        <v>390</v>
      </c>
      <c r="C73" t="s">
        <v>391</v>
      </c>
    </row>
    <row r="74" spans="2:3">
      <c r="B74" t="s">
        <v>392</v>
      </c>
      <c r="C74" t="s">
        <v>393</v>
      </c>
    </row>
    <row r="75" spans="2:3">
      <c r="B75" t="s">
        <v>394</v>
      </c>
      <c r="C75" t="s">
        <v>395</v>
      </c>
    </row>
    <row r="76" spans="2:3">
      <c r="B76" t="s">
        <v>69</v>
      </c>
      <c r="C76" t="s">
        <v>396</v>
      </c>
    </row>
    <row r="77" spans="2:3">
      <c r="B77" t="s">
        <v>397</v>
      </c>
      <c r="C77" t="s">
        <v>398</v>
      </c>
    </row>
    <row r="78" spans="2:3">
      <c r="B78" t="s">
        <v>399</v>
      </c>
      <c r="C78" t="s">
        <v>400</v>
      </c>
    </row>
    <row r="79" spans="2:3">
      <c r="B79" t="s">
        <v>401</v>
      </c>
      <c r="C79" t="s">
        <v>402</v>
      </c>
    </row>
    <row r="80" spans="2:3">
      <c r="B80" t="s">
        <v>403</v>
      </c>
      <c r="C80" t="s">
        <v>404</v>
      </c>
    </row>
    <row r="81" spans="2:3">
      <c r="B81" t="s">
        <v>405</v>
      </c>
      <c r="C81" t="s">
        <v>406</v>
      </c>
    </row>
    <row r="82" spans="2:3">
      <c r="B82" t="s">
        <v>407</v>
      </c>
      <c r="C82" t="s">
        <v>408</v>
      </c>
    </row>
    <row r="83" spans="2:3">
      <c r="B83" t="s">
        <v>409</v>
      </c>
      <c r="C83" t="s">
        <v>410</v>
      </c>
    </row>
    <row r="84" spans="2:3">
      <c r="B84" t="s">
        <v>411</v>
      </c>
      <c r="C84" t="s">
        <v>412</v>
      </c>
    </row>
    <row r="85" spans="2:3">
      <c r="B85" t="s">
        <v>413</v>
      </c>
      <c r="C85" t="s">
        <v>414</v>
      </c>
    </row>
    <row r="86" spans="2:3">
      <c r="B86" t="s">
        <v>415</v>
      </c>
      <c r="C86" t="s">
        <v>416</v>
      </c>
    </row>
    <row r="87" spans="2:3">
      <c r="B87" t="s">
        <v>417</v>
      </c>
      <c r="C87" t="s">
        <v>418</v>
      </c>
    </row>
    <row r="88" spans="2:3">
      <c r="B88" t="s">
        <v>419</v>
      </c>
      <c r="C88" t="s">
        <v>420</v>
      </c>
    </row>
    <row r="89" spans="2:3">
      <c r="B89" t="s">
        <v>421</v>
      </c>
      <c r="C89" t="s">
        <v>422</v>
      </c>
    </row>
    <row r="90" spans="2:3">
      <c r="B90" t="s">
        <v>423</v>
      </c>
      <c r="C90" t="s">
        <v>424</v>
      </c>
    </row>
    <row r="91" spans="2:3">
      <c r="B91" t="s">
        <v>425</v>
      </c>
      <c r="C91" t="s">
        <v>426</v>
      </c>
    </row>
    <row r="92" spans="2:3">
      <c r="B92" t="s">
        <v>427</v>
      </c>
      <c r="C92" t="s">
        <v>428</v>
      </c>
    </row>
    <row r="93" spans="2:3">
      <c r="B93" t="s">
        <v>429</v>
      </c>
      <c r="C93" t="s">
        <v>430</v>
      </c>
    </row>
    <row r="94" spans="2:3">
      <c r="B94" t="s">
        <v>431</v>
      </c>
      <c r="C94" t="s">
        <v>432</v>
      </c>
    </row>
    <row r="95" spans="2:3">
      <c r="B95" t="s">
        <v>433</v>
      </c>
      <c r="C95" t="s">
        <v>434</v>
      </c>
    </row>
    <row r="96" spans="2:3">
      <c r="B96" t="s">
        <v>435</v>
      </c>
      <c r="C96" t="s">
        <v>436</v>
      </c>
    </row>
    <row r="97" spans="2:3">
      <c r="B97" t="s">
        <v>437</v>
      </c>
      <c r="C97" t="s">
        <v>438</v>
      </c>
    </row>
    <row r="98" spans="2:3">
      <c r="B98" t="s">
        <v>439</v>
      </c>
      <c r="C98" t="s">
        <v>440</v>
      </c>
    </row>
    <row r="99" spans="2:3">
      <c r="B99" t="s">
        <v>441</v>
      </c>
      <c r="C99" t="s">
        <v>442</v>
      </c>
    </row>
    <row r="100" spans="2:3">
      <c r="B100" t="s">
        <v>443</v>
      </c>
      <c r="C100" t="s">
        <v>444</v>
      </c>
    </row>
    <row r="101" spans="2:3">
      <c r="B101" t="s">
        <v>445</v>
      </c>
      <c r="C101" t="s">
        <v>446</v>
      </c>
    </row>
    <row r="102" spans="2:3">
      <c r="B102" t="s">
        <v>447</v>
      </c>
      <c r="C102" t="s">
        <v>448</v>
      </c>
    </row>
    <row r="103" spans="2:3">
      <c r="B103" t="s">
        <v>449</v>
      </c>
      <c r="C103" t="s">
        <v>450</v>
      </c>
    </row>
    <row r="104" spans="2:3">
      <c r="B104" t="s">
        <v>451</v>
      </c>
      <c r="C104" t="s">
        <v>452</v>
      </c>
    </row>
    <row r="105" spans="2:3">
      <c r="B105" t="s">
        <v>453</v>
      </c>
      <c r="C105" t="s">
        <v>454</v>
      </c>
    </row>
    <row r="106" spans="2:3">
      <c r="B106" t="s">
        <v>104</v>
      </c>
      <c r="C106" t="s">
        <v>455</v>
      </c>
    </row>
    <row r="107" spans="2:3">
      <c r="B107" t="s">
        <v>456</v>
      </c>
      <c r="C107" t="s">
        <v>457</v>
      </c>
    </row>
    <row r="108" spans="2:3">
      <c r="B108" t="s">
        <v>458</v>
      </c>
      <c r="C108" t="s">
        <v>459</v>
      </c>
    </row>
    <row r="109" spans="2:3">
      <c r="B109" t="s">
        <v>460</v>
      </c>
      <c r="C109" t="s">
        <v>461</v>
      </c>
    </row>
    <row r="110" spans="2:3">
      <c r="B110" t="s">
        <v>462</v>
      </c>
      <c r="C110" t="s">
        <v>463</v>
      </c>
    </row>
    <row r="111" spans="2:3">
      <c r="B111" t="s">
        <v>464</v>
      </c>
      <c r="C111" t="s">
        <v>465</v>
      </c>
    </row>
    <row r="112" spans="2:3">
      <c r="B112" t="s">
        <v>466</v>
      </c>
      <c r="C112" t="s">
        <v>467</v>
      </c>
    </row>
    <row r="113" spans="2:3">
      <c r="B113" t="s">
        <v>468</v>
      </c>
      <c r="C113" t="s">
        <v>469</v>
      </c>
    </row>
    <row r="114" spans="2:3">
      <c r="B114" t="s">
        <v>470</v>
      </c>
      <c r="C114" t="s">
        <v>471</v>
      </c>
    </row>
    <row r="115" spans="2:3">
      <c r="B115" t="s">
        <v>472</v>
      </c>
      <c r="C115" t="s">
        <v>473</v>
      </c>
    </row>
    <row r="116" spans="2:3">
      <c r="B116" t="s">
        <v>474</v>
      </c>
      <c r="C116" t="s">
        <v>475</v>
      </c>
    </row>
    <row r="117" spans="2:3">
      <c r="B117" t="s">
        <v>476</v>
      </c>
      <c r="C117" t="s">
        <v>477</v>
      </c>
    </row>
    <row r="118" spans="2:3">
      <c r="B118" t="s">
        <v>478</v>
      </c>
      <c r="C118" t="s">
        <v>479</v>
      </c>
    </row>
    <row r="119" spans="2:3">
      <c r="B119" t="s">
        <v>480</v>
      </c>
      <c r="C119" t="s">
        <v>481</v>
      </c>
    </row>
    <row r="120" spans="2:3">
      <c r="B120" t="s">
        <v>482</v>
      </c>
      <c r="C120" t="s">
        <v>483</v>
      </c>
    </row>
    <row r="121" spans="2:3">
      <c r="B121" t="s">
        <v>484</v>
      </c>
      <c r="C121" t="s">
        <v>485</v>
      </c>
    </row>
    <row r="122" spans="2:3">
      <c r="B122" t="s">
        <v>486</v>
      </c>
      <c r="C122" t="s">
        <v>487</v>
      </c>
    </row>
    <row r="123" spans="2:3">
      <c r="B123" t="s">
        <v>488</v>
      </c>
      <c r="C123" t="s">
        <v>489</v>
      </c>
    </row>
    <row r="124" spans="2:3">
      <c r="B124" t="s">
        <v>490</v>
      </c>
      <c r="C124" t="s">
        <v>491</v>
      </c>
    </row>
    <row r="125" spans="2:3">
      <c r="B125" t="s">
        <v>492</v>
      </c>
      <c r="C125" t="s">
        <v>493</v>
      </c>
    </row>
    <row r="126" spans="2:3">
      <c r="B126" t="s">
        <v>494</v>
      </c>
      <c r="C126" t="s">
        <v>495</v>
      </c>
    </row>
    <row r="127" spans="2:3">
      <c r="B127" t="s">
        <v>496</v>
      </c>
      <c r="C127" t="s">
        <v>497</v>
      </c>
    </row>
    <row r="128" spans="2:3">
      <c r="B128" t="s">
        <v>498</v>
      </c>
      <c r="C128" t="s">
        <v>499</v>
      </c>
    </row>
    <row r="129" spans="2:3">
      <c r="B129" t="s">
        <v>500</v>
      </c>
      <c r="C129" t="s">
        <v>501</v>
      </c>
    </row>
    <row r="130" spans="2:3">
      <c r="B130" t="s">
        <v>502</v>
      </c>
      <c r="C130" t="s">
        <v>503</v>
      </c>
    </row>
    <row r="131" spans="2:3">
      <c r="B131" t="s">
        <v>504</v>
      </c>
      <c r="C131" t="s">
        <v>505</v>
      </c>
    </row>
    <row r="132" spans="2:3">
      <c r="B132" t="s">
        <v>506</v>
      </c>
    </row>
    <row r="133" spans="2:3">
      <c r="B133" t="s">
        <v>507</v>
      </c>
    </row>
    <row r="134" spans="2:3">
      <c r="B134" t="s">
        <v>508</v>
      </c>
    </row>
    <row r="135" spans="2:3">
      <c r="B135" t="s">
        <v>509</v>
      </c>
    </row>
    <row r="136" spans="2:3">
      <c r="B136" t="s">
        <v>510</v>
      </c>
    </row>
    <row r="137" spans="2:3">
      <c r="B137" t="s">
        <v>511</v>
      </c>
    </row>
    <row r="138" spans="2:3">
      <c r="B138" t="s">
        <v>512</v>
      </c>
    </row>
    <row r="139" spans="2:3">
      <c r="B139" t="s">
        <v>513</v>
      </c>
    </row>
    <row r="140" spans="2:3">
      <c r="B140" t="s">
        <v>514</v>
      </c>
    </row>
    <row r="141" spans="2:3">
      <c r="B141" t="s">
        <v>515</v>
      </c>
    </row>
    <row r="142" spans="2:3">
      <c r="B142" t="s">
        <v>516</v>
      </c>
    </row>
    <row r="143" spans="2:3">
      <c r="B143" t="s">
        <v>517</v>
      </c>
    </row>
    <row r="144" spans="2:3">
      <c r="B144" t="s">
        <v>518</v>
      </c>
    </row>
    <row r="145" spans="2:2">
      <c r="B145" t="s">
        <v>519</v>
      </c>
    </row>
    <row r="146" spans="2:2">
      <c r="B146" t="s">
        <v>520</v>
      </c>
    </row>
    <row r="147" spans="2:2">
      <c r="B147" t="s">
        <v>521</v>
      </c>
    </row>
    <row r="148" spans="2:2">
      <c r="B148" t="s">
        <v>522</v>
      </c>
    </row>
    <row r="149" spans="2:2">
      <c r="B149" t="s">
        <v>523</v>
      </c>
    </row>
    <row r="150" spans="2:2">
      <c r="B150" t="s">
        <v>524</v>
      </c>
    </row>
    <row r="151" spans="2:2">
      <c r="B151" t="s">
        <v>525</v>
      </c>
    </row>
    <row r="152" spans="2:2">
      <c r="B152" t="s">
        <v>526</v>
      </c>
    </row>
    <row r="153" spans="2:2">
      <c r="B153" t="s">
        <v>527</v>
      </c>
    </row>
    <row r="154" spans="2:2">
      <c r="B154" t="s">
        <v>528</v>
      </c>
    </row>
    <row r="155" spans="2:2">
      <c r="B155" t="s">
        <v>529</v>
      </c>
    </row>
    <row r="156" spans="2:2">
      <c r="B156" t="s">
        <v>530</v>
      </c>
    </row>
    <row r="157" spans="2:2">
      <c r="B157" t="s">
        <v>531</v>
      </c>
    </row>
    <row r="158" spans="2:2">
      <c r="B158" t="s">
        <v>532</v>
      </c>
    </row>
    <row r="159" spans="2:2">
      <c r="B159" t="s">
        <v>533</v>
      </c>
    </row>
    <row r="160" spans="2:2">
      <c r="B160" t="s">
        <v>534</v>
      </c>
    </row>
    <row r="161" spans="2:2">
      <c r="B161" t="s">
        <v>535</v>
      </c>
    </row>
    <row r="162" spans="2:2">
      <c r="B162" t="s">
        <v>536</v>
      </c>
    </row>
    <row r="163" spans="2:2">
      <c r="B163" t="s">
        <v>537</v>
      </c>
    </row>
    <row r="164" spans="2:2">
      <c r="B164" t="s">
        <v>538</v>
      </c>
    </row>
    <row r="165" spans="2:2">
      <c r="B165" t="s">
        <v>539</v>
      </c>
    </row>
    <row r="166" spans="2:2">
      <c r="B166" t="s">
        <v>540</v>
      </c>
    </row>
    <row r="167" spans="2:2">
      <c r="B167" t="s">
        <v>541</v>
      </c>
    </row>
    <row r="168" spans="2:2">
      <c r="B168" t="s">
        <v>542</v>
      </c>
    </row>
    <row r="169" spans="2:2">
      <c r="B169" t="s">
        <v>543</v>
      </c>
    </row>
    <row r="170" spans="2:2">
      <c r="B170" t="s">
        <v>544</v>
      </c>
    </row>
    <row r="171" spans="2:2">
      <c r="B171" t="s">
        <v>545</v>
      </c>
    </row>
    <row r="172" spans="2:2">
      <c r="B172" t="s">
        <v>546</v>
      </c>
    </row>
    <row r="173" spans="2:2">
      <c r="B173" t="s">
        <v>547</v>
      </c>
    </row>
    <row r="174" spans="2:2">
      <c r="B174" t="s">
        <v>157</v>
      </c>
    </row>
    <row r="175" spans="2:2">
      <c r="B175" t="s">
        <v>548</v>
      </c>
    </row>
    <row r="176" spans="2:2">
      <c r="B176" t="s">
        <v>549</v>
      </c>
    </row>
    <row r="177" spans="2:2">
      <c r="B177" t="s">
        <v>550</v>
      </c>
    </row>
    <row r="178" spans="2:2">
      <c r="B178" t="s">
        <v>551</v>
      </c>
    </row>
    <row r="179" spans="2:2">
      <c r="B179" t="s">
        <v>552</v>
      </c>
    </row>
    <row r="180" spans="2:2">
      <c r="B180" t="s">
        <v>553</v>
      </c>
    </row>
    <row r="181" spans="2:2">
      <c r="B181" t="s">
        <v>554</v>
      </c>
    </row>
    <row r="182" spans="2:2">
      <c r="B182" t="s">
        <v>555</v>
      </c>
    </row>
    <row r="183" spans="2:2">
      <c r="B183" t="s">
        <v>556</v>
      </c>
    </row>
    <row r="184" spans="2:2">
      <c r="B184" t="s">
        <v>557</v>
      </c>
    </row>
    <row r="185" spans="2:2">
      <c r="B185" t="s">
        <v>558</v>
      </c>
    </row>
    <row r="186" spans="2:2">
      <c r="B186" t="s">
        <v>559</v>
      </c>
    </row>
    <row r="187" spans="2:2">
      <c r="B187" t="s">
        <v>560</v>
      </c>
    </row>
    <row r="188" spans="2:2">
      <c r="B188" t="s">
        <v>561</v>
      </c>
    </row>
    <row r="189" spans="2:2">
      <c r="B189" t="s">
        <v>562</v>
      </c>
    </row>
    <row r="190" spans="2:2">
      <c r="B190" t="s">
        <v>563</v>
      </c>
    </row>
    <row r="191" spans="2:2">
      <c r="B191" t="s">
        <v>564</v>
      </c>
    </row>
    <row r="192" spans="2:2">
      <c r="B192" t="s">
        <v>565</v>
      </c>
    </row>
    <row r="193" spans="2:2">
      <c r="B193" t="s">
        <v>566</v>
      </c>
    </row>
    <row r="194" spans="2:2">
      <c r="B194" t="s">
        <v>567</v>
      </c>
    </row>
    <row r="195" spans="2:2">
      <c r="B195" t="s">
        <v>568</v>
      </c>
    </row>
    <row r="196" spans="2:2">
      <c r="B196" t="s">
        <v>569</v>
      </c>
    </row>
    <row r="197" spans="2:2">
      <c r="B197" t="s">
        <v>570</v>
      </c>
    </row>
    <row r="198" spans="2:2">
      <c r="B198" t="s">
        <v>571</v>
      </c>
    </row>
    <row r="199" spans="2:2">
      <c r="B199" t="s">
        <v>572</v>
      </c>
    </row>
    <row r="200" spans="2:2">
      <c r="B200" t="s">
        <v>573</v>
      </c>
    </row>
    <row r="201" spans="2:2">
      <c r="B201" t="s">
        <v>574</v>
      </c>
    </row>
    <row r="202" spans="2:2">
      <c r="B202" t="s">
        <v>575</v>
      </c>
    </row>
    <row r="203" spans="2:2">
      <c r="B203" t="s">
        <v>576</v>
      </c>
    </row>
    <row r="204" spans="2:2">
      <c r="B204" t="s">
        <v>577</v>
      </c>
    </row>
    <row r="205" spans="2:2">
      <c r="B205" t="s">
        <v>578</v>
      </c>
    </row>
    <row r="206" spans="2:2">
      <c r="B206" t="s">
        <v>579</v>
      </c>
    </row>
    <row r="207" spans="2:2">
      <c r="B207" t="s">
        <v>580</v>
      </c>
    </row>
    <row r="208" spans="2:2">
      <c r="B208" t="s">
        <v>581</v>
      </c>
    </row>
    <row r="209" spans="2:2">
      <c r="B209" t="s">
        <v>582</v>
      </c>
    </row>
    <row r="210" spans="2:2">
      <c r="B210" t="s">
        <v>583</v>
      </c>
    </row>
    <row r="211" spans="2:2">
      <c r="B211" t="s">
        <v>584</v>
      </c>
    </row>
    <row r="212" spans="2:2">
      <c r="B212" t="s">
        <v>585</v>
      </c>
    </row>
    <row r="213" spans="2:2">
      <c r="B213" t="s">
        <v>586</v>
      </c>
    </row>
    <row r="214" spans="2:2">
      <c r="B214" t="s">
        <v>587</v>
      </c>
    </row>
    <row r="215" spans="2:2">
      <c r="B215" t="s">
        <v>588</v>
      </c>
    </row>
    <row r="216" spans="2:2">
      <c r="B216" t="s">
        <v>589</v>
      </c>
    </row>
    <row r="217" spans="2:2">
      <c r="B217" t="s">
        <v>590</v>
      </c>
    </row>
    <row r="218" spans="2:2">
      <c r="B218" t="s">
        <v>591</v>
      </c>
    </row>
    <row r="219" spans="2:2">
      <c r="B219" t="s">
        <v>592</v>
      </c>
    </row>
    <row r="220" spans="2:2">
      <c r="B220" t="s">
        <v>593</v>
      </c>
    </row>
    <row r="221" spans="2:2">
      <c r="B221" t="s">
        <v>594</v>
      </c>
    </row>
    <row r="222" spans="2:2">
      <c r="B222" t="s">
        <v>595</v>
      </c>
    </row>
    <row r="223" spans="2:2">
      <c r="B223" t="s">
        <v>596</v>
      </c>
    </row>
    <row r="224" spans="2:2">
      <c r="B224" t="s">
        <v>597</v>
      </c>
    </row>
    <row r="225" spans="2:2">
      <c r="B225" t="s">
        <v>598</v>
      </c>
    </row>
    <row r="226" spans="2:2">
      <c r="B226" t="s">
        <v>599</v>
      </c>
    </row>
    <row r="227" spans="2:2">
      <c r="B227" t="s">
        <v>600</v>
      </c>
    </row>
    <row r="228" spans="2:2">
      <c r="B228" t="s">
        <v>601</v>
      </c>
    </row>
    <row r="229" spans="2:2">
      <c r="B229" t="s">
        <v>602</v>
      </c>
    </row>
    <row r="230" spans="2:2">
      <c r="B230" t="s">
        <v>603</v>
      </c>
    </row>
    <row r="231" spans="2:2">
      <c r="B231" t="s">
        <v>604</v>
      </c>
    </row>
    <row r="232" spans="2:2">
      <c r="B232" t="s">
        <v>605</v>
      </c>
    </row>
    <row r="233" spans="2:2">
      <c r="B233" t="s">
        <v>606</v>
      </c>
    </row>
    <row r="234" spans="2:2">
      <c r="B234" t="s">
        <v>607</v>
      </c>
    </row>
    <row r="235" spans="2:2">
      <c r="B235" t="s">
        <v>608</v>
      </c>
    </row>
    <row r="236" spans="2:2">
      <c r="B236" t="s">
        <v>609</v>
      </c>
    </row>
    <row r="237" spans="2:2">
      <c r="B237" t="s">
        <v>610</v>
      </c>
    </row>
    <row r="238" spans="2:2">
      <c r="B238" t="s">
        <v>611</v>
      </c>
    </row>
    <row r="239" spans="2:2">
      <c r="B239" t="s">
        <v>612</v>
      </c>
    </row>
    <row r="240" spans="2:2">
      <c r="B240" t="s">
        <v>613</v>
      </c>
    </row>
    <row r="241" spans="2:2">
      <c r="B241" t="s">
        <v>111</v>
      </c>
    </row>
    <row r="242" spans="2:2">
      <c r="B242" t="s">
        <v>614</v>
      </c>
    </row>
    <row r="243" spans="2:2">
      <c r="B243" t="s">
        <v>112</v>
      </c>
    </row>
    <row r="244" spans="2:2">
      <c r="B244" t="s">
        <v>156</v>
      </c>
    </row>
    <row r="245" spans="2:2">
      <c r="B245" t="s">
        <v>615</v>
      </c>
    </row>
    <row r="246" spans="2:2">
      <c r="B246" t="s">
        <v>616</v>
      </c>
    </row>
    <row r="247" spans="2:2">
      <c r="B247" t="s">
        <v>617</v>
      </c>
    </row>
    <row r="248" spans="2:2">
      <c r="B248" t="s">
        <v>618</v>
      </c>
    </row>
    <row r="249" spans="2:2">
      <c r="B249" t="s">
        <v>619</v>
      </c>
    </row>
    <row r="250" spans="2:2">
      <c r="B250" t="s">
        <v>620</v>
      </c>
    </row>
    <row r="251" spans="2:2">
      <c r="B251" t="s">
        <v>621</v>
      </c>
    </row>
    <row r="252" spans="2:2">
      <c r="B252" t="s">
        <v>622</v>
      </c>
    </row>
    <row r="253" spans="2:2">
      <c r="B253" t="s">
        <v>623</v>
      </c>
    </row>
    <row r="254" spans="2:2">
      <c r="B254" t="s">
        <v>624</v>
      </c>
    </row>
    <row r="255" spans="2:2">
      <c r="B255" t="s">
        <v>625</v>
      </c>
    </row>
    <row r="256" spans="2:2">
      <c r="B256" t="s">
        <v>626</v>
      </c>
    </row>
    <row r="257" spans="2:2">
      <c r="B257" t="s">
        <v>61</v>
      </c>
    </row>
    <row r="258" spans="2:2">
      <c r="B258" t="s">
        <v>627</v>
      </c>
    </row>
    <row r="259" spans="2:2">
      <c r="B259" t="s">
        <v>628</v>
      </c>
    </row>
    <row r="260" spans="2:2">
      <c r="B260" t="s">
        <v>629</v>
      </c>
    </row>
    <row r="261" spans="2:2">
      <c r="B261" t="s">
        <v>630</v>
      </c>
    </row>
    <row r="262" spans="2:2">
      <c r="B262" t="s">
        <v>631</v>
      </c>
    </row>
    <row r="263" spans="2:2">
      <c r="B263" t="s">
        <v>92</v>
      </c>
    </row>
    <row r="264" spans="2:2">
      <c r="B264" t="s">
        <v>93</v>
      </c>
    </row>
    <row r="265" spans="2:2">
      <c r="B265" t="s">
        <v>632</v>
      </c>
    </row>
    <row r="266" spans="2:2">
      <c r="B266" t="s">
        <v>81</v>
      </c>
    </row>
    <row r="267" spans="2:2">
      <c r="B267" t="s">
        <v>82</v>
      </c>
    </row>
    <row r="268" spans="2:2">
      <c r="B268" t="s">
        <v>633</v>
      </c>
    </row>
    <row r="269" spans="2:2">
      <c r="B269" t="s">
        <v>634</v>
      </c>
    </row>
    <row r="270" spans="2:2">
      <c r="B270" t="s">
        <v>635</v>
      </c>
    </row>
    <row r="271" spans="2:2">
      <c r="B271" t="s">
        <v>636</v>
      </c>
    </row>
    <row r="272" spans="2:2">
      <c r="B272" t="s">
        <v>637</v>
      </c>
    </row>
    <row r="273" spans="2:2">
      <c r="B273" t="s">
        <v>638</v>
      </c>
    </row>
    <row r="274" spans="2:2">
      <c r="B274" t="s">
        <v>639</v>
      </c>
    </row>
    <row r="275" spans="2:2">
      <c r="B275" t="s">
        <v>640</v>
      </c>
    </row>
    <row r="276" spans="2:2">
      <c r="B276" t="s">
        <v>641</v>
      </c>
    </row>
    <row r="277" spans="2:2">
      <c r="B277" t="s">
        <v>642</v>
      </c>
    </row>
    <row r="278" spans="2:2">
      <c r="B278" t="s">
        <v>643</v>
      </c>
    </row>
    <row r="279" spans="2:2">
      <c r="B279" t="s">
        <v>644</v>
      </c>
    </row>
    <row r="280" spans="2:2">
      <c r="B280" t="s">
        <v>645</v>
      </c>
    </row>
    <row r="281" spans="2:2">
      <c r="B281" t="s">
        <v>646</v>
      </c>
    </row>
    <row r="282" spans="2:2">
      <c r="B282" t="s">
        <v>647</v>
      </c>
    </row>
    <row r="283" spans="2:2">
      <c r="B283" t="s">
        <v>648</v>
      </c>
    </row>
    <row r="284" spans="2:2">
      <c r="B284" t="s">
        <v>649</v>
      </c>
    </row>
    <row r="285" spans="2:2">
      <c r="B285" t="s">
        <v>650</v>
      </c>
    </row>
    <row r="286" spans="2:2">
      <c r="B286" t="s">
        <v>651</v>
      </c>
    </row>
    <row r="287" spans="2:2">
      <c r="B287" t="s">
        <v>66</v>
      </c>
    </row>
    <row r="288" spans="2:2">
      <c r="B288" t="s">
        <v>91</v>
      </c>
    </row>
    <row r="289" spans="2:2">
      <c r="B289" t="s">
        <v>652</v>
      </c>
    </row>
    <row r="290" spans="2:2">
      <c r="B290" t="s">
        <v>653</v>
      </c>
    </row>
    <row r="291" spans="2:2">
      <c r="B291" t="s">
        <v>654</v>
      </c>
    </row>
    <row r="292" spans="2:2">
      <c r="B292" t="s">
        <v>655</v>
      </c>
    </row>
    <row r="293" spans="2:2">
      <c r="B293" t="s">
        <v>656</v>
      </c>
    </row>
    <row r="294" spans="2:2">
      <c r="B294" t="s">
        <v>657</v>
      </c>
    </row>
    <row r="295" spans="2:2">
      <c r="B295" t="s">
        <v>658</v>
      </c>
    </row>
    <row r="296" spans="2:2">
      <c r="B296" t="s">
        <v>659</v>
      </c>
    </row>
    <row r="297" spans="2:2">
      <c r="B297" t="s">
        <v>660</v>
      </c>
    </row>
    <row r="298" spans="2:2">
      <c r="B298" t="s">
        <v>661</v>
      </c>
    </row>
    <row r="299" spans="2:2">
      <c r="B299" t="s">
        <v>662</v>
      </c>
    </row>
    <row r="300" spans="2:2">
      <c r="B300" t="s">
        <v>663</v>
      </c>
    </row>
    <row r="301" spans="2:2">
      <c r="B301" t="s">
        <v>134</v>
      </c>
    </row>
    <row r="302" spans="2:2">
      <c r="B302" t="s">
        <v>137</v>
      </c>
    </row>
    <row r="303" spans="2:2">
      <c r="B303" t="s">
        <v>117</v>
      </c>
    </row>
    <row r="304" spans="2:2">
      <c r="B304" t="s">
        <v>664</v>
      </c>
    </row>
    <row r="305" spans="2:2">
      <c r="B305" t="s">
        <v>665</v>
      </c>
    </row>
    <row r="306" spans="2:2">
      <c r="B306" t="s">
        <v>666</v>
      </c>
    </row>
    <row r="307" spans="2:2">
      <c r="B307" t="s">
        <v>667</v>
      </c>
    </row>
    <row r="308" spans="2:2">
      <c r="B308" t="s">
        <v>668</v>
      </c>
    </row>
    <row r="309" spans="2:2">
      <c r="B309" t="s">
        <v>669</v>
      </c>
    </row>
    <row r="310" spans="2:2">
      <c r="B310" t="s">
        <v>670</v>
      </c>
    </row>
    <row r="311" spans="2:2">
      <c r="B311" t="s">
        <v>671</v>
      </c>
    </row>
    <row r="312" spans="2:2">
      <c r="B312" t="s">
        <v>672</v>
      </c>
    </row>
    <row r="313" spans="2:2">
      <c r="B313" t="s">
        <v>673</v>
      </c>
    </row>
    <row r="314" spans="2:2">
      <c r="B314" t="s">
        <v>674</v>
      </c>
    </row>
    <row r="315" spans="2:2">
      <c r="B315" t="s">
        <v>675</v>
      </c>
    </row>
    <row r="316" spans="2:2">
      <c r="B316" t="s">
        <v>676</v>
      </c>
    </row>
    <row r="317" spans="2:2">
      <c r="B317" t="s">
        <v>677</v>
      </c>
    </row>
    <row r="318" spans="2:2">
      <c r="B318" t="s">
        <v>678</v>
      </c>
    </row>
    <row r="319" spans="2:2">
      <c r="B319" t="s">
        <v>679</v>
      </c>
    </row>
    <row r="320" spans="2:2">
      <c r="B320" t="s">
        <v>680</v>
      </c>
    </row>
    <row r="321" spans="2:2">
      <c r="B321" t="s">
        <v>681</v>
      </c>
    </row>
    <row r="322" spans="2:2">
      <c r="B322" t="s">
        <v>682</v>
      </c>
    </row>
    <row r="323" spans="2:2">
      <c r="B323" t="s">
        <v>683</v>
      </c>
    </row>
    <row r="324" spans="2:2">
      <c r="B324" t="s">
        <v>684</v>
      </c>
    </row>
    <row r="325" spans="2:2">
      <c r="B325" t="s">
        <v>685</v>
      </c>
    </row>
    <row r="326" spans="2:2">
      <c r="B326" t="s">
        <v>686</v>
      </c>
    </row>
    <row r="327" spans="2:2">
      <c r="B327" t="s">
        <v>687</v>
      </c>
    </row>
    <row r="328" spans="2:2">
      <c r="B328" t="s">
        <v>688</v>
      </c>
    </row>
    <row r="329" spans="2:2">
      <c r="B329" t="s">
        <v>689</v>
      </c>
    </row>
    <row r="330" spans="2:2">
      <c r="B330" t="s">
        <v>690</v>
      </c>
    </row>
    <row r="331" spans="2:2">
      <c r="B331" t="s">
        <v>72</v>
      </c>
    </row>
    <row r="332" spans="2:2">
      <c r="B332" t="s">
        <v>691</v>
      </c>
    </row>
    <row r="333" spans="2:2">
      <c r="B333" t="s">
        <v>692</v>
      </c>
    </row>
    <row r="334" spans="2:2">
      <c r="B334" t="s">
        <v>693</v>
      </c>
    </row>
    <row r="335" spans="2:2">
      <c r="B335" t="s">
        <v>694</v>
      </c>
    </row>
    <row r="336" spans="2:2">
      <c r="B336" t="s">
        <v>695</v>
      </c>
    </row>
    <row r="337" spans="2:2">
      <c r="B337" t="s">
        <v>696</v>
      </c>
    </row>
    <row r="338" spans="2:2">
      <c r="B338" t="s">
        <v>697</v>
      </c>
    </row>
    <row r="339" spans="2:2">
      <c r="B339" t="s">
        <v>698</v>
      </c>
    </row>
    <row r="340" spans="2:2">
      <c r="B340" t="s">
        <v>699</v>
      </c>
    </row>
    <row r="341" spans="2:2">
      <c r="B341" t="s">
        <v>700</v>
      </c>
    </row>
    <row r="342" spans="2:2">
      <c r="B342" t="s">
        <v>701</v>
      </c>
    </row>
    <row r="343" spans="2:2">
      <c r="B343" t="s">
        <v>702</v>
      </c>
    </row>
    <row r="344" spans="2:2">
      <c r="B344" t="s">
        <v>703</v>
      </c>
    </row>
    <row r="345" spans="2:2">
      <c r="B345" t="s">
        <v>704</v>
      </c>
    </row>
    <row r="346" spans="2:2">
      <c r="B346" t="s">
        <v>705</v>
      </c>
    </row>
    <row r="347" spans="2:2">
      <c r="B347" t="s">
        <v>706</v>
      </c>
    </row>
    <row r="348" spans="2:2">
      <c r="B348" t="s">
        <v>707</v>
      </c>
    </row>
    <row r="349" spans="2:2">
      <c r="B349" t="s">
        <v>708</v>
      </c>
    </row>
    <row r="350" spans="2:2">
      <c r="B350" t="s">
        <v>709</v>
      </c>
    </row>
    <row r="351" spans="2:2">
      <c r="B351" t="s">
        <v>710</v>
      </c>
    </row>
    <row r="352" spans="2:2">
      <c r="B352" t="s">
        <v>711</v>
      </c>
    </row>
    <row r="353" spans="2:2">
      <c r="B353" t="s">
        <v>712</v>
      </c>
    </row>
    <row r="354" spans="2:2">
      <c r="B354" t="s">
        <v>713</v>
      </c>
    </row>
    <row r="355" spans="2:2">
      <c r="B355" t="s">
        <v>714</v>
      </c>
    </row>
    <row r="356" spans="2:2">
      <c r="B356" t="s">
        <v>715</v>
      </c>
    </row>
    <row r="357" spans="2:2">
      <c r="B357" t="s">
        <v>716</v>
      </c>
    </row>
    <row r="358" spans="2:2">
      <c r="B358" t="s">
        <v>717</v>
      </c>
    </row>
    <row r="359" spans="2:2">
      <c r="B359" t="s">
        <v>124</v>
      </c>
    </row>
    <row r="360" spans="2:2">
      <c r="B360" t="s">
        <v>718</v>
      </c>
    </row>
    <row r="361" spans="2:2">
      <c r="B361" t="s">
        <v>719</v>
      </c>
    </row>
    <row r="362" spans="2:2">
      <c r="B362" t="s">
        <v>720</v>
      </c>
    </row>
    <row r="363" spans="2:2">
      <c r="B363" t="s">
        <v>721</v>
      </c>
    </row>
    <row r="364" spans="2:2">
      <c r="B364" t="s">
        <v>722</v>
      </c>
    </row>
    <row r="365" spans="2:2">
      <c r="B365" t="s">
        <v>723</v>
      </c>
    </row>
    <row r="366" spans="2:2">
      <c r="B366" t="s">
        <v>724</v>
      </c>
    </row>
    <row r="367" spans="2:2">
      <c r="B367" t="s">
        <v>725</v>
      </c>
    </row>
    <row r="368" spans="2:2">
      <c r="B368" t="s">
        <v>726</v>
      </c>
    </row>
    <row r="369" spans="2:2">
      <c r="B369" t="s">
        <v>727</v>
      </c>
    </row>
    <row r="370" spans="2:2">
      <c r="B370" t="s">
        <v>728</v>
      </c>
    </row>
    <row r="371" spans="2:2">
      <c r="B371" t="s">
        <v>729</v>
      </c>
    </row>
    <row r="372" spans="2:2">
      <c r="B372" t="s">
        <v>730</v>
      </c>
    </row>
    <row r="373" spans="2:2">
      <c r="B373" t="s">
        <v>731</v>
      </c>
    </row>
    <row r="374" spans="2:2">
      <c r="B374" t="s">
        <v>732</v>
      </c>
    </row>
    <row r="375" spans="2:2">
      <c r="B375" t="s">
        <v>733</v>
      </c>
    </row>
    <row r="376" spans="2:2">
      <c r="B376" t="s">
        <v>734</v>
      </c>
    </row>
    <row r="377" spans="2:2">
      <c r="B377" t="s">
        <v>735</v>
      </c>
    </row>
    <row r="378" spans="2:2">
      <c r="B378" t="s">
        <v>736</v>
      </c>
    </row>
    <row r="379" spans="2:2">
      <c r="B379" t="s">
        <v>737</v>
      </c>
    </row>
    <row r="380" spans="2:2">
      <c r="B380" t="s">
        <v>738</v>
      </c>
    </row>
    <row r="381" spans="2:2">
      <c r="B381" t="s">
        <v>739</v>
      </c>
    </row>
    <row r="382" spans="2:2">
      <c r="B382" t="s">
        <v>740</v>
      </c>
    </row>
    <row r="383" spans="2:2">
      <c r="B383" t="s">
        <v>741</v>
      </c>
    </row>
    <row r="384" spans="2:2">
      <c r="B384" t="s">
        <v>742</v>
      </c>
    </row>
    <row r="385" spans="2:2">
      <c r="B385" t="s">
        <v>743</v>
      </c>
    </row>
    <row r="386" spans="2:2">
      <c r="B386" t="s">
        <v>744</v>
      </c>
    </row>
    <row r="387" spans="2:2">
      <c r="B387" t="s">
        <v>745</v>
      </c>
    </row>
    <row r="388" spans="2:2">
      <c r="B388" t="s">
        <v>746</v>
      </c>
    </row>
    <row r="389" spans="2:2">
      <c r="B389" t="s">
        <v>747</v>
      </c>
    </row>
    <row r="390" spans="2:2">
      <c r="B390" t="s">
        <v>103</v>
      </c>
    </row>
    <row r="391" spans="2:2">
      <c r="B391" t="s">
        <v>748</v>
      </c>
    </row>
    <row r="392" spans="2:2">
      <c r="B392" t="s">
        <v>749</v>
      </c>
    </row>
    <row r="393" spans="2:2">
      <c r="B393" t="s">
        <v>750</v>
      </c>
    </row>
    <row r="394" spans="2:2">
      <c r="B394" t="s">
        <v>751</v>
      </c>
    </row>
    <row r="395" spans="2:2">
      <c r="B395" t="s">
        <v>752</v>
      </c>
    </row>
    <row r="396" spans="2:2">
      <c r="B396" t="s">
        <v>753</v>
      </c>
    </row>
    <row r="397" spans="2:2">
      <c r="B397" t="s">
        <v>754</v>
      </c>
    </row>
    <row r="398" spans="2:2">
      <c r="B398" t="s">
        <v>755</v>
      </c>
    </row>
    <row r="399" spans="2:2">
      <c r="B399" t="s">
        <v>756</v>
      </c>
    </row>
    <row r="400" spans="2:2">
      <c r="B400" t="s">
        <v>757</v>
      </c>
    </row>
    <row r="401" spans="2:2">
      <c r="B401" t="s">
        <v>758</v>
      </c>
    </row>
    <row r="402" spans="2:2">
      <c r="B402" t="s">
        <v>759</v>
      </c>
    </row>
    <row r="403" spans="2:2">
      <c r="B403" t="s">
        <v>760</v>
      </c>
    </row>
    <row r="404" spans="2:2">
      <c r="B404" t="s">
        <v>761</v>
      </c>
    </row>
    <row r="405" spans="2:2">
      <c r="B405" t="s">
        <v>762</v>
      </c>
    </row>
    <row r="406" spans="2:2">
      <c r="B406" t="s">
        <v>763</v>
      </c>
    </row>
    <row r="407" spans="2:2">
      <c r="B407" t="s">
        <v>764</v>
      </c>
    </row>
    <row r="408" spans="2:2">
      <c r="B408" t="s">
        <v>765</v>
      </c>
    </row>
    <row r="409" spans="2:2">
      <c r="B409" t="s">
        <v>766</v>
      </c>
    </row>
    <row r="410" spans="2:2">
      <c r="B410" t="s">
        <v>767</v>
      </c>
    </row>
    <row r="411" spans="2:2">
      <c r="B411" t="s">
        <v>768</v>
      </c>
    </row>
    <row r="412" spans="2:2">
      <c r="B412" t="s">
        <v>769</v>
      </c>
    </row>
    <row r="413" spans="2:2">
      <c r="B413" t="s">
        <v>770</v>
      </c>
    </row>
    <row r="414" spans="2:2">
      <c r="B414" t="s">
        <v>771</v>
      </c>
    </row>
    <row r="415" spans="2:2">
      <c r="B415" t="s">
        <v>772</v>
      </c>
    </row>
    <row r="416" spans="2:2">
      <c r="B416" t="s">
        <v>113</v>
      </c>
    </row>
    <row r="417" spans="2:2">
      <c r="B417" t="s">
        <v>773</v>
      </c>
    </row>
    <row r="418" spans="2:2">
      <c r="B418" t="s">
        <v>774</v>
      </c>
    </row>
    <row r="419" spans="2:2">
      <c r="B419" t="s">
        <v>775</v>
      </c>
    </row>
    <row r="420" spans="2:2">
      <c r="B420" t="s">
        <v>776</v>
      </c>
    </row>
    <row r="421" spans="2:2">
      <c r="B421" t="s">
        <v>777</v>
      </c>
    </row>
    <row r="422" spans="2:2">
      <c r="B422" t="s">
        <v>778</v>
      </c>
    </row>
    <row r="423" spans="2:2">
      <c r="B423" t="s">
        <v>779</v>
      </c>
    </row>
    <row r="424" spans="2:2">
      <c r="B424" t="s">
        <v>780</v>
      </c>
    </row>
    <row r="425" spans="2:2">
      <c r="B425" t="s">
        <v>781</v>
      </c>
    </row>
    <row r="426" spans="2:2">
      <c r="B426" t="s">
        <v>782</v>
      </c>
    </row>
    <row r="427" spans="2:2">
      <c r="B427" t="s">
        <v>783</v>
      </c>
    </row>
    <row r="428" spans="2:2">
      <c r="B428" t="s">
        <v>784</v>
      </c>
    </row>
    <row r="429" spans="2:2">
      <c r="B429" t="s">
        <v>74</v>
      </c>
    </row>
    <row r="430" spans="2:2">
      <c r="B430" t="s">
        <v>100</v>
      </c>
    </row>
    <row r="431" spans="2:2">
      <c r="B431" t="s">
        <v>105</v>
      </c>
    </row>
    <row r="432" spans="2:2">
      <c r="B432" t="s">
        <v>785</v>
      </c>
    </row>
    <row r="433" spans="2:2">
      <c r="B433" t="s">
        <v>786</v>
      </c>
    </row>
    <row r="434" spans="2:2">
      <c r="B434" t="s">
        <v>787</v>
      </c>
    </row>
    <row r="435" spans="2:2">
      <c r="B435" t="s">
        <v>102</v>
      </c>
    </row>
    <row r="436" spans="2:2">
      <c r="B436" t="s">
        <v>788</v>
      </c>
    </row>
    <row r="437" spans="2:2">
      <c r="B437" t="s">
        <v>789</v>
      </c>
    </row>
    <row r="438" spans="2:2">
      <c r="B438" t="s">
        <v>790</v>
      </c>
    </row>
    <row r="439" spans="2:2">
      <c r="B439" t="s">
        <v>791</v>
      </c>
    </row>
    <row r="440" spans="2:2">
      <c r="B440" t="s">
        <v>792</v>
      </c>
    </row>
    <row r="441" spans="2:2">
      <c r="B441" t="s">
        <v>793</v>
      </c>
    </row>
    <row r="442" spans="2:2">
      <c r="B442" t="s">
        <v>794</v>
      </c>
    </row>
    <row r="443" spans="2:2">
      <c r="B443" t="s">
        <v>795</v>
      </c>
    </row>
    <row r="444" spans="2:2">
      <c r="B444" t="s">
        <v>796</v>
      </c>
    </row>
    <row r="445" spans="2:2">
      <c r="B445" t="s">
        <v>797</v>
      </c>
    </row>
    <row r="446" spans="2:2">
      <c r="B446" t="s">
        <v>798</v>
      </c>
    </row>
    <row r="447" spans="2:2">
      <c r="B447" t="s">
        <v>799</v>
      </c>
    </row>
    <row r="448" spans="2:2">
      <c r="B448" t="s">
        <v>800</v>
      </c>
    </row>
    <row r="449" spans="2:2">
      <c r="B449" t="s">
        <v>801</v>
      </c>
    </row>
    <row r="450" spans="2:2">
      <c r="B450" t="s">
        <v>802</v>
      </c>
    </row>
    <row r="451" spans="2:2">
      <c r="B451" t="s">
        <v>803</v>
      </c>
    </row>
    <row r="452" spans="2:2">
      <c r="B452" t="s">
        <v>804</v>
      </c>
    </row>
    <row r="453" spans="2:2">
      <c r="B453" t="s">
        <v>805</v>
      </c>
    </row>
    <row r="454" spans="2:2">
      <c r="B454" t="s">
        <v>806</v>
      </c>
    </row>
    <row r="455" spans="2:2">
      <c r="B455" t="s">
        <v>807</v>
      </c>
    </row>
    <row r="456" spans="2:2">
      <c r="B456" t="s">
        <v>808</v>
      </c>
    </row>
    <row r="457" spans="2:2">
      <c r="B457" t="s">
        <v>809</v>
      </c>
    </row>
    <row r="458" spans="2:2">
      <c r="B458" t="s">
        <v>810</v>
      </c>
    </row>
    <row r="459" spans="2:2">
      <c r="B459" t="s">
        <v>811</v>
      </c>
    </row>
    <row r="460" spans="2:2">
      <c r="B460" t="s">
        <v>812</v>
      </c>
    </row>
    <row r="461" spans="2:2">
      <c r="B461" t="s">
        <v>118</v>
      </c>
    </row>
    <row r="462" spans="2:2">
      <c r="B462" t="s">
        <v>813</v>
      </c>
    </row>
    <row r="463" spans="2:2">
      <c r="B463" t="s">
        <v>814</v>
      </c>
    </row>
    <row r="464" spans="2:2">
      <c r="B464" t="s">
        <v>68</v>
      </c>
    </row>
    <row r="465" spans="2:2">
      <c r="B465" t="s">
        <v>815</v>
      </c>
    </row>
    <row r="466" spans="2:2">
      <c r="B466" t="s">
        <v>816</v>
      </c>
    </row>
    <row r="467" spans="2:2">
      <c r="B467" t="s">
        <v>817</v>
      </c>
    </row>
    <row r="468" spans="2:2">
      <c r="B468" t="s">
        <v>818</v>
      </c>
    </row>
    <row r="469" spans="2:2">
      <c r="B469" t="s">
        <v>819</v>
      </c>
    </row>
    <row r="470" spans="2:2">
      <c r="B470" t="s">
        <v>820</v>
      </c>
    </row>
    <row r="471" spans="2:2">
      <c r="B471" t="s">
        <v>821</v>
      </c>
    </row>
    <row r="472" spans="2:2">
      <c r="B472" t="s">
        <v>822</v>
      </c>
    </row>
    <row r="473" spans="2:2">
      <c r="B473" t="s">
        <v>823</v>
      </c>
    </row>
    <row r="474" spans="2:2">
      <c r="B474" t="s">
        <v>824</v>
      </c>
    </row>
    <row r="475" spans="2:2">
      <c r="B475" t="s">
        <v>825</v>
      </c>
    </row>
    <row r="476" spans="2:2">
      <c r="B476" t="s">
        <v>826</v>
      </c>
    </row>
    <row r="477" spans="2:2">
      <c r="B477" t="s">
        <v>827</v>
      </c>
    </row>
    <row r="478" spans="2:2">
      <c r="B478" t="s">
        <v>828</v>
      </c>
    </row>
    <row r="479" spans="2:2">
      <c r="B479" t="s">
        <v>829</v>
      </c>
    </row>
    <row r="480" spans="2:2">
      <c r="B480" t="s">
        <v>830</v>
      </c>
    </row>
    <row r="481" spans="2:2">
      <c r="B481" t="s">
        <v>831</v>
      </c>
    </row>
    <row r="482" spans="2:2">
      <c r="B482" t="s">
        <v>832</v>
      </c>
    </row>
    <row r="483" spans="2:2">
      <c r="B483" t="s">
        <v>833</v>
      </c>
    </row>
    <row r="484" spans="2:2">
      <c r="B484" t="s">
        <v>65</v>
      </c>
    </row>
    <row r="485" spans="2:2">
      <c r="B485" t="s">
        <v>99</v>
      </c>
    </row>
    <row r="486" spans="2:2">
      <c r="B486" t="s">
        <v>138</v>
      </c>
    </row>
    <row r="487" spans="2:2">
      <c r="B487" t="s">
        <v>834</v>
      </c>
    </row>
    <row r="488" spans="2:2">
      <c r="B488" t="s">
        <v>835</v>
      </c>
    </row>
    <row r="489" spans="2:2">
      <c r="B489" t="s">
        <v>836</v>
      </c>
    </row>
    <row r="490" spans="2:2">
      <c r="B490" t="s">
        <v>837</v>
      </c>
    </row>
    <row r="491" spans="2:2">
      <c r="B491" t="s">
        <v>838</v>
      </c>
    </row>
    <row r="492" spans="2:2">
      <c r="B492" t="s">
        <v>839</v>
      </c>
    </row>
    <row r="493" spans="2:2">
      <c r="B493" t="s">
        <v>840</v>
      </c>
    </row>
    <row r="494" spans="2:2">
      <c r="B494" t="s">
        <v>841</v>
      </c>
    </row>
    <row r="495" spans="2:2">
      <c r="B495" t="s">
        <v>842</v>
      </c>
    </row>
    <row r="496" spans="2:2">
      <c r="B496" t="s">
        <v>843</v>
      </c>
    </row>
    <row r="497" spans="2:2">
      <c r="B497" t="s">
        <v>844</v>
      </c>
    </row>
    <row r="498" spans="2:2">
      <c r="B498" t="s">
        <v>845</v>
      </c>
    </row>
    <row r="499" spans="2:2">
      <c r="B499" t="s">
        <v>846</v>
      </c>
    </row>
    <row r="500" spans="2:2">
      <c r="B500" t="s">
        <v>16</v>
      </c>
    </row>
    <row r="501" spans="2:2">
      <c r="B501" t="s">
        <v>847</v>
      </c>
    </row>
    <row r="502" spans="2:2">
      <c r="B502" t="s">
        <v>848</v>
      </c>
    </row>
    <row r="503" spans="2:2">
      <c r="B503" t="s">
        <v>849</v>
      </c>
    </row>
    <row r="504" spans="2:2">
      <c r="B504" t="s">
        <v>850</v>
      </c>
    </row>
    <row r="505" spans="2:2">
      <c r="B505" t="s">
        <v>851</v>
      </c>
    </row>
    <row r="506" spans="2:2">
      <c r="B506" t="s">
        <v>852</v>
      </c>
    </row>
    <row r="507" spans="2:2">
      <c r="B507" t="s">
        <v>853</v>
      </c>
    </row>
    <row r="508" spans="2:2">
      <c r="B508" t="s">
        <v>854</v>
      </c>
    </row>
    <row r="509" spans="2:2">
      <c r="B509" t="s">
        <v>855</v>
      </c>
    </row>
    <row r="510" spans="2:2">
      <c r="B510" t="s">
        <v>856</v>
      </c>
    </row>
    <row r="511" spans="2:2">
      <c r="B511" t="s">
        <v>857</v>
      </c>
    </row>
    <row r="512" spans="2:2">
      <c r="B512" t="s">
        <v>90</v>
      </c>
    </row>
    <row r="513" spans="2:2">
      <c r="B513" t="s">
        <v>106</v>
      </c>
    </row>
    <row r="514" spans="2:2">
      <c r="B514" t="s">
        <v>87</v>
      </c>
    </row>
    <row r="515" spans="2:2">
      <c r="B515" t="s">
        <v>858</v>
      </c>
    </row>
    <row r="516" spans="2:2">
      <c r="B516" t="s">
        <v>859</v>
      </c>
    </row>
    <row r="517" spans="2:2">
      <c r="B517" t="s">
        <v>860</v>
      </c>
    </row>
    <row r="518" spans="2:2">
      <c r="B518" t="s">
        <v>861</v>
      </c>
    </row>
    <row r="519" spans="2:2">
      <c r="B519" t="s">
        <v>862</v>
      </c>
    </row>
    <row r="520" spans="2:2">
      <c r="B520" t="s">
        <v>863</v>
      </c>
    </row>
    <row r="521" spans="2:2">
      <c r="B521" t="s">
        <v>864</v>
      </c>
    </row>
    <row r="522" spans="2:2">
      <c r="B522" t="s">
        <v>865</v>
      </c>
    </row>
    <row r="523" spans="2:2">
      <c r="B523" t="s">
        <v>866</v>
      </c>
    </row>
    <row r="524" spans="2:2">
      <c r="B524" t="s">
        <v>867</v>
      </c>
    </row>
    <row r="525" spans="2:2">
      <c r="B525" t="s">
        <v>868</v>
      </c>
    </row>
    <row r="526" spans="2:2">
      <c r="B526" t="s">
        <v>869</v>
      </c>
    </row>
    <row r="527" spans="2:2">
      <c r="B527" t="s">
        <v>870</v>
      </c>
    </row>
    <row r="528" spans="2:2">
      <c r="B528" t="s">
        <v>871</v>
      </c>
    </row>
    <row r="529" spans="2:2">
      <c r="B529" t="s">
        <v>872</v>
      </c>
    </row>
    <row r="530" spans="2:2">
      <c r="B530" t="s">
        <v>873</v>
      </c>
    </row>
    <row r="531" spans="2:2">
      <c r="B531" t="s">
        <v>874</v>
      </c>
    </row>
    <row r="532" spans="2:2">
      <c r="B532" t="s">
        <v>875</v>
      </c>
    </row>
    <row r="533" spans="2:2">
      <c r="B533" t="s">
        <v>191</v>
      </c>
    </row>
    <row r="534" spans="2:2">
      <c r="B534" t="s">
        <v>876</v>
      </c>
    </row>
    <row r="535" spans="2:2">
      <c r="B535" t="s">
        <v>183</v>
      </c>
    </row>
    <row r="536" spans="2:2">
      <c r="B536" t="s">
        <v>877</v>
      </c>
    </row>
    <row r="537" spans="2:2">
      <c r="B537" t="s">
        <v>878</v>
      </c>
    </row>
    <row r="538" spans="2:2">
      <c r="B538" t="s">
        <v>879</v>
      </c>
    </row>
    <row r="539" spans="2:2">
      <c r="B539" t="s">
        <v>88</v>
      </c>
    </row>
    <row r="540" spans="2:2">
      <c r="B540" t="s">
        <v>880</v>
      </c>
    </row>
    <row r="541" spans="2:2">
      <c r="B541" t="s">
        <v>881</v>
      </c>
    </row>
    <row r="542" spans="2:2">
      <c r="B542" t="s">
        <v>882</v>
      </c>
    </row>
    <row r="543" spans="2:2">
      <c r="B543" t="s">
        <v>883</v>
      </c>
    </row>
    <row r="544" spans="2:2">
      <c r="B544" t="s">
        <v>884</v>
      </c>
    </row>
    <row r="545" spans="2:2">
      <c r="B545" t="s">
        <v>885</v>
      </c>
    </row>
    <row r="546" spans="2:2">
      <c r="B546" t="s">
        <v>886</v>
      </c>
    </row>
    <row r="547" spans="2:2">
      <c r="B547" t="s">
        <v>887</v>
      </c>
    </row>
    <row r="548" spans="2:2">
      <c r="B548" t="s">
        <v>114</v>
      </c>
    </row>
    <row r="549" spans="2:2">
      <c r="B549" t="s">
        <v>888</v>
      </c>
    </row>
    <row r="550" spans="2:2">
      <c r="B550" t="s">
        <v>889</v>
      </c>
    </row>
    <row r="551" spans="2:2">
      <c r="B551" t="s">
        <v>890</v>
      </c>
    </row>
    <row r="552" spans="2:2">
      <c r="B552" t="s">
        <v>891</v>
      </c>
    </row>
    <row r="553" spans="2:2">
      <c r="B553" t="s">
        <v>892</v>
      </c>
    </row>
    <row r="554" spans="2:2">
      <c r="B554" t="s">
        <v>893</v>
      </c>
    </row>
    <row r="555" spans="2:2">
      <c r="B555" t="s">
        <v>894</v>
      </c>
    </row>
    <row r="556" spans="2:2">
      <c r="B556" t="s">
        <v>67</v>
      </c>
    </row>
    <row r="557" spans="2:2">
      <c r="B557" t="s">
        <v>107</v>
      </c>
    </row>
    <row r="558" spans="2:2">
      <c r="B558" t="s">
        <v>895</v>
      </c>
    </row>
    <row r="559" spans="2:2">
      <c r="B559" t="s">
        <v>896</v>
      </c>
    </row>
    <row r="560" spans="2:2">
      <c r="B560" t="s">
        <v>897</v>
      </c>
    </row>
    <row r="561" spans="2:2">
      <c r="B561" t="s">
        <v>161</v>
      </c>
    </row>
    <row r="562" spans="2:2">
      <c r="B562" t="s">
        <v>898</v>
      </c>
    </row>
    <row r="563" spans="2:2">
      <c r="B563" t="s">
        <v>899</v>
      </c>
    </row>
    <row r="564" spans="2:2">
      <c r="B564" t="s">
        <v>900</v>
      </c>
    </row>
    <row r="565" spans="2:2">
      <c r="B565" t="s">
        <v>901</v>
      </c>
    </row>
    <row r="566" spans="2:2">
      <c r="B566" t="s">
        <v>902</v>
      </c>
    </row>
    <row r="567" spans="2:2">
      <c r="B567" t="s">
        <v>903</v>
      </c>
    </row>
    <row r="568" spans="2:2">
      <c r="B568" t="s">
        <v>904</v>
      </c>
    </row>
    <row r="569" spans="2:2">
      <c r="B569" t="s">
        <v>905</v>
      </c>
    </row>
    <row r="570" spans="2:2">
      <c r="B570" t="s">
        <v>906</v>
      </c>
    </row>
    <row r="571" spans="2:2">
      <c r="B571" t="s">
        <v>907</v>
      </c>
    </row>
    <row r="572" spans="2:2">
      <c r="B572" t="s">
        <v>908</v>
      </c>
    </row>
    <row r="573" spans="2:2">
      <c r="B573" t="s">
        <v>909</v>
      </c>
    </row>
    <row r="574" spans="2:2">
      <c r="B574" t="s">
        <v>910</v>
      </c>
    </row>
    <row r="575" spans="2:2">
      <c r="B575" t="s">
        <v>911</v>
      </c>
    </row>
    <row r="576" spans="2:2">
      <c r="B576" t="s">
        <v>912</v>
      </c>
    </row>
    <row r="577" spans="2:2">
      <c r="B577" t="s">
        <v>913</v>
      </c>
    </row>
    <row r="578" spans="2:2">
      <c r="B578" t="s">
        <v>914</v>
      </c>
    </row>
    <row r="579" spans="2:2">
      <c r="B579" t="s">
        <v>915</v>
      </c>
    </row>
    <row r="580" spans="2:2">
      <c r="B580" t="s">
        <v>916</v>
      </c>
    </row>
    <row r="581" spans="2:2">
      <c r="B581" t="s">
        <v>917</v>
      </c>
    </row>
    <row r="582" spans="2:2">
      <c r="B582" t="s">
        <v>918</v>
      </c>
    </row>
    <row r="583" spans="2:2">
      <c r="B583" t="s">
        <v>919</v>
      </c>
    </row>
    <row r="584" spans="2:2">
      <c r="B584" t="s">
        <v>920</v>
      </c>
    </row>
    <row r="585" spans="2:2">
      <c r="B585" t="s">
        <v>921</v>
      </c>
    </row>
    <row r="586" spans="2:2">
      <c r="B586" t="s">
        <v>922</v>
      </c>
    </row>
    <row r="587" spans="2:2">
      <c r="B587" t="s">
        <v>923</v>
      </c>
    </row>
    <row r="588" spans="2:2">
      <c r="B588" t="s">
        <v>924</v>
      </c>
    </row>
    <row r="589" spans="2:2">
      <c r="B589" t="s">
        <v>925</v>
      </c>
    </row>
    <row r="590" spans="2:2">
      <c r="B590" t="s">
        <v>926</v>
      </c>
    </row>
    <row r="591" spans="2:2">
      <c r="B591" t="s">
        <v>927</v>
      </c>
    </row>
    <row r="592" spans="2:2">
      <c r="B592" t="s">
        <v>928</v>
      </c>
    </row>
    <row r="593" spans="2:2">
      <c r="B593" t="s">
        <v>323</v>
      </c>
    </row>
    <row r="594" spans="2:2">
      <c r="B594" t="s">
        <v>929</v>
      </c>
    </row>
    <row r="595" spans="2:2">
      <c r="B595" t="s">
        <v>930</v>
      </c>
    </row>
    <row r="596" spans="2:2">
      <c r="B596" t="s">
        <v>931</v>
      </c>
    </row>
    <row r="597" spans="2:2">
      <c r="B597" t="s">
        <v>932</v>
      </c>
    </row>
    <row r="598" spans="2:2">
      <c r="B598" t="s">
        <v>933</v>
      </c>
    </row>
    <row r="599" spans="2:2">
      <c r="B599" t="s">
        <v>934</v>
      </c>
    </row>
    <row r="600" spans="2:2">
      <c r="B600" t="s">
        <v>935</v>
      </c>
    </row>
    <row r="601" spans="2:2">
      <c r="B601" t="s">
        <v>936</v>
      </c>
    </row>
    <row r="602" spans="2:2">
      <c r="B602" t="s">
        <v>937</v>
      </c>
    </row>
    <row r="603" spans="2:2">
      <c r="B603" t="s">
        <v>938</v>
      </c>
    </row>
    <row r="604" spans="2:2">
      <c r="B604" t="s">
        <v>939</v>
      </c>
    </row>
    <row r="605" spans="2:2">
      <c r="B605" t="s">
        <v>940</v>
      </c>
    </row>
    <row r="606" spans="2:2">
      <c r="B606" t="s">
        <v>941</v>
      </c>
    </row>
    <row r="607" spans="2:2">
      <c r="B607" t="s">
        <v>942</v>
      </c>
    </row>
    <row r="608" spans="2:2">
      <c r="B608" t="s">
        <v>115</v>
      </c>
    </row>
    <row r="609" spans="2:2">
      <c r="B609" t="s">
        <v>943</v>
      </c>
    </row>
    <row r="610" spans="2:2">
      <c r="B610" t="s">
        <v>944</v>
      </c>
    </row>
    <row r="611" spans="2:2">
      <c r="B611" t="s">
        <v>945</v>
      </c>
    </row>
    <row r="612" spans="2:2">
      <c r="B612" t="s">
        <v>946</v>
      </c>
    </row>
    <row r="613" spans="2:2">
      <c r="B613" t="s">
        <v>947</v>
      </c>
    </row>
    <row r="614" spans="2:2">
      <c r="B614" t="s">
        <v>948</v>
      </c>
    </row>
    <row r="615" spans="2:2">
      <c r="B615" t="s">
        <v>949</v>
      </c>
    </row>
    <row r="616" spans="2:2">
      <c r="B616" t="s">
        <v>950</v>
      </c>
    </row>
    <row r="617" spans="2:2">
      <c r="B617" t="s">
        <v>951</v>
      </c>
    </row>
    <row r="618" spans="2:2">
      <c r="B618" t="s">
        <v>952</v>
      </c>
    </row>
    <row r="619" spans="2:2">
      <c r="B619" t="s">
        <v>953</v>
      </c>
    </row>
    <row r="620" spans="2:2">
      <c r="B620" t="s">
        <v>954</v>
      </c>
    </row>
    <row r="621" spans="2:2">
      <c r="B621" t="s">
        <v>955</v>
      </c>
    </row>
    <row r="622" spans="2:2">
      <c r="B622" t="s">
        <v>956</v>
      </c>
    </row>
    <row r="623" spans="2:2">
      <c r="B623" t="s">
        <v>957</v>
      </c>
    </row>
    <row r="624" spans="2:2">
      <c r="B624" t="s">
        <v>958</v>
      </c>
    </row>
    <row r="625" spans="2:2">
      <c r="B625" t="s">
        <v>959</v>
      </c>
    </row>
    <row r="626" spans="2:2">
      <c r="B626" t="s">
        <v>960</v>
      </c>
    </row>
    <row r="627" spans="2:2">
      <c r="B627" t="s">
        <v>961</v>
      </c>
    </row>
    <row r="628" spans="2:2">
      <c r="B628" t="s">
        <v>962</v>
      </c>
    </row>
    <row r="629" spans="2:2">
      <c r="B629" t="s">
        <v>963</v>
      </c>
    </row>
    <row r="630" spans="2:2">
      <c r="B630" t="s">
        <v>964</v>
      </c>
    </row>
    <row r="631" spans="2:2">
      <c r="B631" t="s">
        <v>965</v>
      </c>
    </row>
    <row r="632" spans="2:2">
      <c r="B632" t="s">
        <v>966</v>
      </c>
    </row>
    <row r="633" spans="2:2">
      <c r="B633" t="s">
        <v>967</v>
      </c>
    </row>
    <row r="634" spans="2:2">
      <c r="B634" t="s">
        <v>968</v>
      </c>
    </row>
    <row r="635" spans="2:2">
      <c r="B635" t="s">
        <v>969</v>
      </c>
    </row>
    <row r="636" spans="2:2">
      <c r="B636" t="s">
        <v>970</v>
      </c>
    </row>
    <row r="637" spans="2:2">
      <c r="B637" t="s">
        <v>86</v>
      </c>
    </row>
    <row r="638" spans="2:2">
      <c r="B638" t="s">
        <v>78</v>
      </c>
    </row>
    <row r="639" spans="2:2">
      <c r="B639" t="s">
        <v>76</v>
      </c>
    </row>
    <row r="640" spans="2:2">
      <c r="B640" t="s">
        <v>128</v>
      </c>
    </row>
    <row r="641" spans="2:2">
      <c r="B641" t="s">
        <v>971</v>
      </c>
    </row>
    <row r="642" spans="2:2">
      <c r="B642" t="s">
        <v>972</v>
      </c>
    </row>
    <row r="643" spans="2:2">
      <c r="B643" t="s">
        <v>973</v>
      </c>
    </row>
    <row r="644" spans="2:2">
      <c r="B644" t="s">
        <v>974</v>
      </c>
    </row>
    <row r="645" spans="2:2">
      <c r="B645" t="s">
        <v>975</v>
      </c>
    </row>
    <row r="646" spans="2:2">
      <c r="B646" t="s">
        <v>976</v>
      </c>
    </row>
    <row r="647" spans="2:2">
      <c r="B647" t="s">
        <v>977</v>
      </c>
    </row>
    <row r="648" spans="2:2">
      <c r="B648" t="s">
        <v>978</v>
      </c>
    </row>
    <row r="649" spans="2:2">
      <c r="B649" t="s">
        <v>979</v>
      </c>
    </row>
    <row r="650" spans="2:2">
      <c r="B650" t="s">
        <v>980</v>
      </c>
    </row>
    <row r="651" spans="2:2">
      <c r="B651" t="s">
        <v>981</v>
      </c>
    </row>
    <row r="652" spans="2:2">
      <c r="B652" t="s">
        <v>982</v>
      </c>
    </row>
    <row r="653" spans="2:2">
      <c r="B653" t="s">
        <v>983</v>
      </c>
    </row>
    <row r="654" spans="2:2">
      <c r="B654" t="s">
        <v>38</v>
      </c>
    </row>
    <row r="655" spans="2:2">
      <c r="B655" t="s">
        <v>984</v>
      </c>
    </row>
    <row r="656" spans="2:2">
      <c r="B656" t="s">
        <v>985</v>
      </c>
    </row>
    <row r="657" spans="2:2">
      <c r="B657" t="s">
        <v>986</v>
      </c>
    </row>
    <row r="658" spans="2:2">
      <c r="B658" t="s">
        <v>987</v>
      </c>
    </row>
    <row r="659" spans="2:2">
      <c r="B659" t="s">
        <v>988</v>
      </c>
    </row>
    <row r="660" spans="2:2">
      <c r="B660" t="s">
        <v>989</v>
      </c>
    </row>
    <row r="661" spans="2:2">
      <c r="B661" t="s">
        <v>990</v>
      </c>
    </row>
    <row r="662" spans="2:2">
      <c r="B662" t="s">
        <v>991</v>
      </c>
    </row>
    <row r="663" spans="2:2">
      <c r="B663" t="s">
        <v>992</v>
      </c>
    </row>
    <row r="664" spans="2:2">
      <c r="B664" t="s">
        <v>993</v>
      </c>
    </row>
    <row r="665" spans="2:2">
      <c r="B665" t="s">
        <v>994</v>
      </c>
    </row>
    <row r="666" spans="2:2">
      <c r="B666" t="s">
        <v>995</v>
      </c>
    </row>
    <row r="667" spans="2:2">
      <c r="B667" t="s">
        <v>77</v>
      </c>
    </row>
    <row r="668" spans="2:2">
      <c r="B668" t="s">
        <v>996</v>
      </c>
    </row>
    <row r="669" spans="2:2">
      <c r="B669" t="s">
        <v>997</v>
      </c>
    </row>
    <row r="670" spans="2:2">
      <c r="B670" t="s">
        <v>998</v>
      </c>
    </row>
    <row r="671" spans="2:2">
      <c r="B671" t="s">
        <v>999</v>
      </c>
    </row>
    <row r="672" spans="2:2">
      <c r="B672" t="s">
        <v>1000</v>
      </c>
    </row>
    <row r="673" spans="2:2">
      <c r="B673" t="s">
        <v>1001</v>
      </c>
    </row>
    <row r="674" spans="2:2">
      <c r="B674" t="s">
        <v>1002</v>
      </c>
    </row>
    <row r="675" spans="2:2">
      <c r="B675" t="s">
        <v>1003</v>
      </c>
    </row>
    <row r="676" spans="2:2">
      <c r="B676" t="s">
        <v>1004</v>
      </c>
    </row>
    <row r="677" spans="2:2">
      <c r="B677" t="s">
        <v>1005</v>
      </c>
    </row>
    <row r="678" spans="2:2">
      <c r="B678" t="s">
        <v>1006</v>
      </c>
    </row>
    <row r="679" spans="2:2">
      <c r="B679" t="s">
        <v>1007</v>
      </c>
    </row>
    <row r="680" spans="2:2">
      <c r="B680" t="s">
        <v>1008</v>
      </c>
    </row>
    <row r="681" spans="2:2">
      <c r="B681" t="s">
        <v>1009</v>
      </c>
    </row>
    <row r="682" spans="2:2">
      <c r="B682" t="s">
        <v>1010</v>
      </c>
    </row>
    <row r="683" spans="2:2">
      <c r="B683" t="s">
        <v>1011</v>
      </c>
    </row>
    <row r="684" spans="2:2">
      <c r="B684" t="s">
        <v>1012</v>
      </c>
    </row>
    <row r="685" spans="2:2">
      <c r="B685" t="s">
        <v>1013</v>
      </c>
    </row>
    <row r="686" spans="2:2">
      <c r="B686" t="s">
        <v>1014</v>
      </c>
    </row>
    <row r="687" spans="2:2">
      <c r="B687" t="s">
        <v>1015</v>
      </c>
    </row>
    <row r="688" spans="2:2">
      <c r="B688" t="s">
        <v>1016</v>
      </c>
    </row>
    <row r="689" spans="2:2">
      <c r="B689" t="s">
        <v>1017</v>
      </c>
    </row>
    <row r="690" spans="2:2">
      <c r="B690" t="s">
        <v>139</v>
      </c>
    </row>
    <row r="691" spans="2:2">
      <c r="B691" t="s">
        <v>1018</v>
      </c>
    </row>
    <row r="692" spans="2:2">
      <c r="B692" t="s">
        <v>1019</v>
      </c>
    </row>
    <row r="693" spans="2:2">
      <c r="B693" t="s">
        <v>1020</v>
      </c>
    </row>
    <row r="694" spans="2:2">
      <c r="B694" t="s">
        <v>1021</v>
      </c>
    </row>
    <row r="695" spans="2:2">
      <c r="B695" t="s">
        <v>1022</v>
      </c>
    </row>
    <row r="696" spans="2:2">
      <c r="B696" t="s">
        <v>1023</v>
      </c>
    </row>
    <row r="697" spans="2:2">
      <c r="B697" t="s">
        <v>1024</v>
      </c>
    </row>
    <row r="698" spans="2:2">
      <c r="B698" t="s">
        <v>1025</v>
      </c>
    </row>
    <row r="699" spans="2:2">
      <c r="B699" t="s">
        <v>1026</v>
      </c>
    </row>
    <row r="700" spans="2:2">
      <c r="B700" t="s">
        <v>1027</v>
      </c>
    </row>
    <row r="701" spans="2:2">
      <c r="B701" t="s">
        <v>1028</v>
      </c>
    </row>
    <row r="702" spans="2:2">
      <c r="B702" t="s">
        <v>1029</v>
      </c>
    </row>
    <row r="703" spans="2:2">
      <c r="B703" t="s">
        <v>1030</v>
      </c>
    </row>
    <row r="704" spans="2:2">
      <c r="B704" t="s">
        <v>1031</v>
      </c>
    </row>
    <row r="705" spans="2:2">
      <c r="B705" t="s">
        <v>1032</v>
      </c>
    </row>
    <row r="706" spans="2:2">
      <c r="B706" t="s">
        <v>1033</v>
      </c>
    </row>
    <row r="707" spans="2:2">
      <c r="B707" t="s">
        <v>1034</v>
      </c>
    </row>
    <row r="708" spans="2:2">
      <c r="B708" t="s">
        <v>1035</v>
      </c>
    </row>
    <row r="709" spans="2:2">
      <c r="B709" t="s">
        <v>1036</v>
      </c>
    </row>
    <row r="710" spans="2:2">
      <c r="B710" t="s">
        <v>1037</v>
      </c>
    </row>
    <row r="711" spans="2:2">
      <c r="B711" t="s">
        <v>1038</v>
      </c>
    </row>
    <row r="712" spans="2:2">
      <c r="B712" t="s">
        <v>1039</v>
      </c>
    </row>
    <row r="713" spans="2:2">
      <c r="B713" t="s">
        <v>1040</v>
      </c>
    </row>
    <row r="714" spans="2:2">
      <c r="B714" t="s">
        <v>1041</v>
      </c>
    </row>
    <row r="715" spans="2:2">
      <c r="B715" t="s">
        <v>1042</v>
      </c>
    </row>
    <row r="716" spans="2:2">
      <c r="B716" t="s">
        <v>1043</v>
      </c>
    </row>
    <row r="717" spans="2:2">
      <c r="B717" t="s">
        <v>1044</v>
      </c>
    </row>
    <row r="718" spans="2:2">
      <c r="B718" t="s">
        <v>1045</v>
      </c>
    </row>
    <row r="719" spans="2:2">
      <c r="B719" t="s">
        <v>1046</v>
      </c>
    </row>
    <row r="720" spans="2:2">
      <c r="B720" t="s">
        <v>1047</v>
      </c>
    </row>
    <row r="721" spans="2:2">
      <c r="B721" t="s">
        <v>1048</v>
      </c>
    </row>
    <row r="722" spans="2:2">
      <c r="B722" t="s">
        <v>1049</v>
      </c>
    </row>
    <row r="723" spans="2:2">
      <c r="B723" t="s">
        <v>1050</v>
      </c>
    </row>
    <row r="724" spans="2:2">
      <c r="B724" t="s">
        <v>1051</v>
      </c>
    </row>
    <row r="725" spans="2:2">
      <c r="B725" t="s">
        <v>1052</v>
      </c>
    </row>
    <row r="726" spans="2:2">
      <c r="B726" t="s">
        <v>1053</v>
      </c>
    </row>
    <row r="727" spans="2:2">
      <c r="B727" t="s">
        <v>1054</v>
      </c>
    </row>
    <row r="728" spans="2:2">
      <c r="B728" t="s">
        <v>1055</v>
      </c>
    </row>
    <row r="729" spans="2:2">
      <c r="B729" t="s">
        <v>1056</v>
      </c>
    </row>
    <row r="730" spans="2:2">
      <c r="B730" t="s">
        <v>1057</v>
      </c>
    </row>
    <row r="731" spans="2:2">
      <c r="B731" t="s">
        <v>1058</v>
      </c>
    </row>
    <row r="732" spans="2:2">
      <c r="B732" t="s">
        <v>1059</v>
      </c>
    </row>
    <row r="733" spans="2:2">
      <c r="B733" t="s">
        <v>1060</v>
      </c>
    </row>
    <row r="734" spans="2:2">
      <c r="B734" t="s">
        <v>1061</v>
      </c>
    </row>
    <row r="735" spans="2:2">
      <c r="B735" t="s">
        <v>1062</v>
      </c>
    </row>
    <row r="736" spans="2:2">
      <c r="B736" t="s">
        <v>1063</v>
      </c>
    </row>
    <row r="737" spans="2:2">
      <c r="B737" t="s">
        <v>1064</v>
      </c>
    </row>
    <row r="738" spans="2:2">
      <c r="B738" t="s">
        <v>1065</v>
      </c>
    </row>
    <row r="739" spans="2:2">
      <c r="B739" t="s">
        <v>1066</v>
      </c>
    </row>
    <row r="740" spans="2:2">
      <c r="B740" t="s">
        <v>1067</v>
      </c>
    </row>
    <row r="741" spans="2:2">
      <c r="B741" t="s">
        <v>98</v>
      </c>
    </row>
    <row r="742" spans="2:2">
      <c r="B742" t="s">
        <v>1068</v>
      </c>
    </row>
    <row r="743" spans="2:2">
      <c r="B743" t="s">
        <v>1069</v>
      </c>
    </row>
    <row r="744" spans="2:2">
      <c r="B744" t="s">
        <v>1070</v>
      </c>
    </row>
    <row r="745" spans="2:2">
      <c r="B745" t="s">
        <v>1071</v>
      </c>
    </row>
    <row r="746" spans="2:2">
      <c r="B746" t="s">
        <v>1072</v>
      </c>
    </row>
    <row r="747" spans="2:2">
      <c r="B747" t="s">
        <v>1073</v>
      </c>
    </row>
    <row r="748" spans="2:2">
      <c r="B748" t="s">
        <v>1074</v>
      </c>
    </row>
    <row r="749" spans="2:2">
      <c r="B749" t="s">
        <v>1075</v>
      </c>
    </row>
    <row r="750" spans="2:2">
      <c r="B750" t="s">
        <v>1076</v>
      </c>
    </row>
    <row r="751" spans="2:2">
      <c r="B751" t="s">
        <v>1077</v>
      </c>
    </row>
    <row r="752" spans="2:2">
      <c r="B752" t="s">
        <v>1078</v>
      </c>
    </row>
    <row r="753" spans="2:2">
      <c r="B753" t="s">
        <v>1079</v>
      </c>
    </row>
    <row r="754" spans="2:2">
      <c r="B754" t="s">
        <v>1080</v>
      </c>
    </row>
    <row r="755" spans="2:2">
      <c r="B755" t="s">
        <v>1081</v>
      </c>
    </row>
    <row r="756" spans="2:2">
      <c r="B756" t="s">
        <v>1082</v>
      </c>
    </row>
    <row r="757" spans="2:2">
      <c r="B757" t="s">
        <v>1083</v>
      </c>
    </row>
    <row r="758" spans="2:2">
      <c r="B758" t="s">
        <v>1084</v>
      </c>
    </row>
    <row r="759" spans="2:2">
      <c r="B759" t="s">
        <v>1085</v>
      </c>
    </row>
    <row r="760" spans="2:2">
      <c r="B760" t="s">
        <v>1086</v>
      </c>
    </row>
    <row r="761" spans="2:2">
      <c r="B761" t="s">
        <v>1087</v>
      </c>
    </row>
    <row r="762" spans="2:2">
      <c r="B762" t="s">
        <v>1088</v>
      </c>
    </row>
    <row r="763" spans="2:2">
      <c r="B763" t="s">
        <v>1089</v>
      </c>
    </row>
    <row r="764" spans="2:2">
      <c r="B764" t="s">
        <v>1090</v>
      </c>
    </row>
    <row r="765" spans="2:2">
      <c r="B765" t="s">
        <v>1091</v>
      </c>
    </row>
    <row r="766" spans="2:2">
      <c r="B766" t="s">
        <v>1092</v>
      </c>
    </row>
    <row r="767" spans="2:2">
      <c r="B767" t="s">
        <v>1093</v>
      </c>
    </row>
    <row r="768" spans="2:2">
      <c r="B768" t="s">
        <v>1094</v>
      </c>
    </row>
    <row r="769" spans="2:2">
      <c r="B769" t="s">
        <v>1095</v>
      </c>
    </row>
    <row r="770" spans="2:2">
      <c r="B770" t="s">
        <v>1096</v>
      </c>
    </row>
    <row r="771" spans="2:2">
      <c r="B771" t="s">
        <v>1097</v>
      </c>
    </row>
    <row r="772" spans="2:2">
      <c r="B772" t="s">
        <v>1098</v>
      </c>
    </row>
    <row r="773" spans="2:2">
      <c r="B773" t="s">
        <v>1099</v>
      </c>
    </row>
    <row r="774" spans="2:2">
      <c r="B774" t="s">
        <v>1100</v>
      </c>
    </row>
    <row r="775" spans="2:2">
      <c r="B775" t="s">
        <v>1101</v>
      </c>
    </row>
    <row r="776" spans="2:2">
      <c r="B776" t="s">
        <v>1102</v>
      </c>
    </row>
    <row r="777" spans="2:2">
      <c r="B777" t="s">
        <v>1103</v>
      </c>
    </row>
    <row r="778" spans="2:2">
      <c r="B778" t="s">
        <v>1104</v>
      </c>
    </row>
    <row r="779" spans="2:2">
      <c r="B779" t="s">
        <v>1105</v>
      </c>
    </row>
    <row r="780" spans="2:2">
      <c r="B780" t="s">
        <v>1106</v>
      </c>
    </row>
    <row r="781" spans="2:2">
      <c r="B781" t="s">
        <v>1107</v>
      </c>
    </row>
    <row r="782" spans="2:2">
      <c r="B782" t="s">
        <v>1108</v>
      </c>
    </row>
    <row r="783" spans="2:2">
      <c r="B783" t="s">
        <v>1109</v>
      </c>
    </row>
    <row r="784" spans="2:2">
      <c r="B784" t="s">
        <v>1110</v>
      </c>
    </row>
    <row r="785" spans="2:2">
      <c r="B785" t="s">
        <v>1111</v>
      </c>
    </row>
    <row r="786" spans="2:2">
      <c r="B786" t="s">
        <v>1112</v>
      </c>
    </row>
    <row r="787" spans="2:2">
      <c r="B787" t="s">
        <v>1113</v>
      </c>
    </row>
    <row r="788" spans="2:2">
      <c r="B788" t="s">
        <v>1114</v>
      </c>
    </row>
    <row r="789" spans="2:2">
      <c r="B789" t="s">
        <v>110</v>
      </c>
    </row>
    <row r="790" spans="2:2">
      <c r="B790" t="s">
        <v>1115</v>
      </c>
    </row>
    <row r="791" spans="2:2">
      <c r="B791" t="s">
        <v>1116</v>
      </c>
    </row>
    <row r="792" spans="2:2">
      <c r="B792" t="s">
        <v>1117</v>
      </c>
    </row>
    <row r="793" spans="2:2">
      <c r="B793" t="s">
        <v>1118</v>
      </c>
    </row>
    <row r="794" spans="2:2">
      <c r="B794" t="s">
        <v>1119</v>
      </c>
    </row>
    <row r="795" spans="2:2">
      <c r="B795" t="s">
        <v>1120</v>
      </c>
    </row>
    <row r="796" spans="2:2">
      <c r="B796" t="s">
        <v>1121</v>
      </c>
    </row>
    <row r="797" spans="2:2">
      <c r="B797" t="s">
        <v>1122</v>
      </c>
    </row>
    <row r="798" spans="2:2">
      <c r="B798" t="s">
        <v>1123</v>
      </c>
    </row>
    <row r="799" spans="2:2">
      <c r="B799" t="s">
        <v>1124</v>
      </c>
    </row>
    <row r="800" spans="2:2">
      <c r="B800" t="s">
        <v>1125</v>
      </c>
    </row>
    <row r="801" spans="2:2">
      <c r="B801" t="s">
        <v>1126</v>
      </c>
    </row>
    <row r="802" spans="2:2">
      <c r="B802" t="s">
        <v>1127</v>
      </c>
    </row>
    <row r="803" spans="2:2">
      <c r="B803" t="s">
        <v>1128</v>
      </c>
    </row>
    <row r="804" spans="2:2">
      <c r="B804" t="s">
        <v>1129</v>
      </c>
    </row>
    <row r="805" spans="2:2">
      <c r="B805" t="s">
        <v>1130</v>
      </c>
    </row>
    <row r="806" spans="2:2">
      <c r="B806" t="s">
        <v>1131</v>
      </c>
    </row>
    <row r="807" spans="2:2">
      <c r="B807" t="s">
        <v>1132</v>
      </c>
    </row>
    <row r="808" spans="2:2">
      <c r="B808" t="s">
        <v>1133</v>
      </c>
    </row>
    <row r="809" spans="2:2">
      <c r="B809" t="s">
        <v>1134</v>
      </c>
    </row>
    <row r="810" spans="2:2">
      <c r="B810" t="s">
        <v>1135</v>
      </c>
    </row>
    <row r="811" spans="2:2">
      <c r="B811" t="s">
        <v>1136</v>
      </c>
    </row>
    <row r="812" spans="2:2">
      <c r="B812" t="s">
        <v>1137</v>
      </c>
    </row>
    <row r="813" spans="2:2">
      <c r="B813" t="s">
        <v>1138</v>
      </c>
    </row>
    <row r="814" spans="2:2">
      <c r="B814" t="s">
        <v>1139</v>
      </c>
    </row>
    <row r="815" spans="2:2">
      <c r="B815" t="s">
        <v>1140</v>
      </c>
    </row>
    <row r="816" spans="2:2">
      <c r="B816" t="s">
        <v>1141</v>
      </c>
    </row>
    <row r="817" spans="2:2">
      <c r="B817" t="s">
        <v>1142</v>
      </c>
    </row>
    <row r="818" spans="2:2">
      <c r="B818" t="s">
        <v>1143</v>
      </c>
    </row>
    <row r="819" spans="2:2">
      <c r="B819" t="s">
        <v>1144</v>
      </c>
    </row>
    <row r="820" spans="2:2">
      <c r="B820" t="s">
        <v>1145</v>
      </c>
    </row>
    <row r="821" spans="2:2">
      <c r="B821" t="s">
        <v>1146</v>
      </c>
    </row>
    <row r="822" spans="2:2">
      <c r="B822" t="s">
        <v>1147</v>
      </c>
    </row>
    <row r="823" spans="2:2">
      <c r="B823" t="s">
        <v>1148</v>
      </c>
    </row>
    <row r="824" spans="2:2">
      <c r="B824" t="s">
        <v>1149</v>
      </c>
    </row>
    <row r="825" spans="2:2">
      <c r="B825" t="s">
        <v>1150</v>
      </c>
    </row>
    <row r="826" spans="2:2">
      <c r="B826" t="s">
        <v>1151</v>
      </c>
    </row>
    <row r="827" spans="2:2">
      <c r="B827" t="s">
        <v>1152</v>
      </c>
    </row>
    <row r="828" spans="2:2">
      <c r="B828" t="s">
        <v>1153</v>
      </c>
    </row>
    <row r="829" spans="2:2">
      <c r="B829" t="s">
        <v>1154</v>
      </c>
    </row>
    <row r="830" spans="2:2">
      <c r="B830" t="s">
        <v>1155</v>
      </c>
    </row>
    <row r="831" spans="2:2">
      <c r="B831" t="s">
        <v>108</v>
      </c>
    </row>
    <row r="832" spans="2:2">
      <c r="B832" t="s">
        <v>1156</v>
      </c>
    </row>
    <row r="833" spans="2:2">
      <c r="B833" t="s">
        <v>1157</v>
      </c>
    </row>
    <row r="834" spans="2:2">
      <c r="B834" t="s">
        <v>1158</v>
      </c>
    </row>
    <row r="835" spans="2:2">
      <c r="B835" t="s">
        <v>1159</v>
      </c>
    </row>
    <row r="836" spans="2:2">
      <c r="B836" t="s">
        <v>1160</v>
      </c>
    </row>
    <row r="837" spans="2:2">
      <c r="B837" t="s">
        <v>1161</v>
      </c>
    </row>
    <row r="838" spans="2:2">
      <c r="B838" t="s">
        <v>1162</v>
      </c>
    </row>
    <row r="839" spans="2:2">
      <c r="B839" t="s">
        <v>1163</v>
      </c>
    </row>
    <row r="840" spans="2:2">
      <c r="B840" t="s">
        <v>1164</v>
      </c>
    </row>
    <row r="841" spans="2:2">
      <c r="B841" t="s">
        <v>1165</v>
      </c>
    </row>
    <row r="842" spans="2:2">
      <c r="B842" t="s">
        <v>1166</v>
      </c>
    </row>
    <row r="843" spans="2:2">
      <c r="B843" t="s">
        <v>1167</v>
      </c>
    </row>
    <row r="844" spans="2:2">
      <c r="B844" t="s">
        <v>1168</v>
      </c>
    </row>
    <row r="845" spans="2:2">
      <c r="B845" t="s">
        <v>1169</v>
      </c>
    </row>
    <row r="846" spans="2:2">
      <c r="B846" t="s">
        <v>1170</v>
      </c>
    </row>
    <row r="847" spans="2:2">
      <c r="B847" t="s">
        <v>123</v>
      </c>
    </row>
    <row r="848" spans="2:2">
      <c r="B848" t="s">
        <v>1171</v>
      </c>
    </row>
    <row r="849" spans="2:2">
      <c r="B849" t="s">
        <v>1172</v>
      </c>
    </row>
    <row r="850" spans="2:2">
      <c r="B850" t="s">
        <v>1173</v>
      </c>
    </row>
    <row r="851" spans="2:2">
      <c r="B851" t="s">
        <v>1174</v>
      </c>
    </row>
    <row r="852" spans="2:2">
      <c r="B852" t="s">
        <v>1175</v>
      </c>
    </row>
    <row r="853" spans="2:2">
      <c r="B853" t="s">
        <v>1176</v>
      </c>
    </row>
    <row r="854" spans="2:2">
      <c r="B854" t="s">
        <v>1177</v>
      </c>
    </row>
    <row r="855" spans="2:2">
      <c r="B855" t="s">
        <v>1178</v>
      </c>
    </row>
    <row r="856" spans="2:2">
      <c r="B856" t="s">
        <v>1179</v>
      </c>
    </row>
    <row r="857" spans="2:2">
      <c r="B857" t="s">
        <v>1180</v>
      </c>
    </row>
    <row r="858" spans="2:2">
      <c r="B858" t="s">
        <v>1181</v>
      </c>
    </row>
    <row r="859" spans="2:2">
      <c r="B859" t="s">
        <v>1182</v>
      </c>
    </row>
    <row r="860" spans="2:2">
      <c r="B860" t="s">
        <v>1183</v>
      </c>
    </row>
    <row r="861" spans="2:2">
      <c r="B861" t="s">
        <v>1184</v>
      </c>
    </row>
    <row r="862" spans="2:2">
      <c r="B862" t="s">
        <v>1185</v>
      </c>
    </row>
    <row r="863" spans="2:2">
      <c r="B863" t="s">
        <v>1186</v>
      </c>
    </row>
    <row r="864" spans="2:2">
      <c r="B864" t="s">
        <v>1187</v>
      </c>
    </row>
    <row r="865" spans="2:2">
      <c r="B865" t="s">
        <v>1188</v>
      </c>
    </row>
    <row r="866" spans="2:2">
      <c r="B866" t="s">
        <v>1189</v>
      </c>
    </row>
    <row r="867" spans="2:2">
      <c r="B867" t="s">
        <v>1190</v>
      </c>
    </row>
    <row r="868" spans="2:2">
      <c r="B868" t="s">
        <v>1191</v>
      </c>
    </row>
    <row r="869" spans="2:2">
      <c r="B869" t="s">
        <v>1192</v>
      </c>
    </row>
    <row r="870" spans="2:2">
      <c r="B870" t="s">
        <v>1193</v>
      </c>
    </row>
    <row r="871" spans="2:2">
      <c r="B871" t="s">
        <v>1194</v>
      </c>
    </row>
    <row r="872" spans="2:2">
      <c r="B872" t="s">
        <v>1195</v>
      </c>
    </row>
    <row r="873" spans="2:2">
      <c r="B873" t="s">
        <v>1196</v>
      </c>
    </row>
    <row r="874" spans="2:2">
      <c r="B874" t="s">
        <v>1197</v>
      </c>
    </row>
    <row r="875" spans="2:2">
      <c r="B875" t="s">
        <v>1198</v>
      </c>
    </row>
    <row r="876" spans="2:2">
      <c r="B876" t="s">
        <v>1199</v>
      </c>
    </row>
    <row r="877" spans="2:2">
      <c r="B877" t="s">
        <v>1200</v>
      </c>
    </row>
    <row r="878" spans="2:2">
      <c r="B878" t="s">
        <v>1201</v>
      </c>
    </row>
    <row r="879" spans="2:2">
      <c r="B879" t="s">
        <v>1202</v>
      </c>
    </row>
    <row r="880" spans="2:2">
      <c r="B880" t="s">
        <v>1203</v>
      </c>
    </row>
    <row r="881" spans="2:2">
      <c r="B881" t="s">
        <v>1204</v>
      </c>
    </row>
    <row r="882" spans="2:2">
      <c r="B882" t="s">
        <v>1205</v>
      </c>
    </row>
    <row r="883" spans="2:2">
      <c r="B883" t="s">
        <v>1206</v>
      </c>
    </row>
    <row r="884" spans="2:2">
      <c r="B884" t="s">
        <v>1207</v>
      </c>
    </row>
    <row r="885" spans="2:2">
      <c r="B885" t="s">
        <v>1208</v>
      </c>
    </row>
    <row r="886" spans="2:2">
      <c r="B886" t="s">
        <v>1209</v>
      </c>
    </row>
    <row r="887" spans="2:2">
      <c r="B887" t="s">
        <v>1210</v>
      </c>
    </row>
    <row r="888" spans="2:2">
      <c r="B888" t="s">
        <v>1211</v>
      </c>
    </row>
    <row r="889" spans="2:2">
      <c r="B889" t="s">
        <v>1212</v>
      </c>
    </row>
    <row r="890" spans="2:2">
      <c r="B890" t="s">
        <v>1213</v>
      </c>
    </row>
    <row r="891" spans="2:2">
      <c r="B891" t="s">
        <v>1214</v>
      </c>
    </row>
    <row r="892" spans="2:2">
      <c r="B892" t="s">
        <v>1215</v>
      </c>
    </row>
    <row r="893" spans="2:2">
      <c r="B893" t="s">
        <v>1216</v>
      </c>
    </row>
    <row r="894" spans="2:2">
      <c r="B894" t="s">
        <v>1217</v>
      </c>
    </row>
    <row r="895" spans="2:2">
      <c r="B895" t="s">
        <v>1218</v>
      </c>
    </row>
    <row r="896" spans="2:2">
      <c r="B896" t="s">
        <v>1219</v>
      </c>
    </row>
    <row r="897" spans="2:2">
      <c r="B897" t="s">
        <v>1220</v>
      </c>
    </row>
    <row r="898" spans="2:2">
      <c r="B898" t="s">
        <v>1221</v>
      </c>
    </row>
    <row r="899" spans="2:2">
      <c r="B899" t="s">
        <v>1222</v>
      </c>
    </row>
    <row r="900" spans="2:2">
      <c r="B900" t="s">
        <v>1223</v>
      </c>
    </row>
    <row r="901" spans="2:2">
      <c r="B901" t="s">
        <v>1224</v>
      </c>
    </row>
    <row r="902" spans="2:2">
      <c r="B902" t="s">
        <v>1225</v>
      </c>
    </row>
    <row r="903" spans="2:2">
      <c r="B903" t="s">
        <v>165</v>
      </c>
    </row>
    <row r="904" spans="2:2">
      <c r="B904" t="s">
        <v>71</v>
      </c>
    </row>
    <row r="905" spans="2:2">
      <c r="B905" t="s">
        <v>119</v>
      </c>
    </row>
    <row r="906" spans="2:2">
      <c r="B906" t="s">
        <v>1226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FRI report</vt:lpstr>
      <vt:lpstr>Photos 1</vt:lpstr>
      <vt:lpstr>Photos 2</vt:lpstr>
      <vt:lpstr>Photos 3</vt:lpstr>
      <vt:lpstr>Photos 4</vt:lpstr>
      <vt:lpstr>Photos 5</vt:lpstr>
      <vt:lpstr>Photos 6</vt:lpstr>
      <vt:lpstr>db</vt:lpstr>
      <vt:lpstr>'FRI report'!Print_Area</vt:lpstr>
      <vt:lpstr>'Photos 1'!Print_Area</vt:lpstr>
      <vt:lpstr>'Photos 2'!Print_Area</vt:lpstr>
      <vt:lpstr>'Photos 3'!Print_Area</vt:lpstr>
      <vt:lpstr>'Photos 4'!Print_Area</vt:lpstr>
      <vt:lpstr>'Photos 5'!Print_Area</vt:lpstr>
      <vt:lpstr>'Photos 6'!Print_Area</vt:lpstr>
      <vt:lpstr>'FRI report'!Print_Titles</vt:lpstr>
      <vt:lpstr>'Photos 1'!Print_Titles</vt:lpstr>
      <vt:lpstr>'Photos 2'!Print_Titles</vt:lpstr>
      <vt:lpstr>'Photos 3'!Print_Titles</vt:lpstr>
      <vt:lpstr>'Photos 4'!Print_Titles</vt:lpstr>
      <vt:lpstr>'Photos 5'!Print_Titles</vt:lpstr>
      <vt:lpstr>'Photos 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Ho</dc:creator>
  <cp:lastModifiedBy>Wei Lin (林伟翰)</cp:lastModifiedBy>
  <cp:lastPrinted>2026-03-06T12:58:19Z</cp:lastPrinted>
  <dcterms:created xsi:type="dcterms:W3CDTF">2006-09-13T11:21:51Z</dcterms:created>
  <dcterms:modified xsi:type="dcterms:W3CDTF">2026-03-14T16:08:00Z</dcterms:modified>
</cp:coreProperties>
</file>