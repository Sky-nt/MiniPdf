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666666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548235"/>
      <sz val="11"/>
    </font>
    <font>
      <name val="Calibri"/>
      <color rgb="00C00000"/>
      <sz val="11"/>
    </font>
    <font>
      <name val="Calibri"/>
      <b val="1"/>
      <sz val="11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1B3A5C"/>
        <bgColor rgb="001B3A5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medium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4" borderId="1" pivotButton="0" quotePrefix="0" xfId="0"/>
    <xf numFmtId="4" fontId="0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0" fontId="4" fillId="0" borderId="1" pivotButton="0" quotePrefix="0" xfId="0"/>
    <xf numFmtId="4" fontId="0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7" fillId="0" borderId="2" pivotButton="0" quotePrefix="0" xfId="0"/>
    <xf numFmtId="4" fontId="7" fillId="0" borderId="2" pivotButton="0" quotePrefix="0" xfId="0"/>
    <xf numFmtId="4" fontId="6" fillId="0" borderId="1" applyAlignment="1" pivotButton="0" quotePrefix="0" xfId="0">
      <alignment horizontal="right"/>
    </xf>
    <xf numFmtId="0" fontId="8" fillId="5" borderId="0" applyAlignment="1" pivotButton="0" quotePrefix="0" xfId="0">
      <alignment horizontal="center"/>
    </xf>
    <xf numFmtId="4" fontId="8" fillId="5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Budget'!C44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Budget'!$B$45:$B$49</f>
            </numRef>
          </cat>
          <val>
            <numRef>
              <f>'Expense Budget'!$C$45:$C$49</f>
            </numRef>
          </val>
        </ser>
        <ser>
          <idx val="1"/>
          <order val="1"/>
          <tx>
            <strRef>
              <f>'Expense Budget'!D44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Budget'!$B$45:$B$49</f>
            </numRef>
          </cat>
          <val>
            <numRef>
              <f>'Expense Budget'!$D$45:$D$49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(\$)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B1" s="1" t="inlineStr">
        <is>
          <t>BUSINESS EXPENSE BUDGET</t>
        </is>
      </c>
    </row>
    <row r="2" ht="20" customHeight="1">
      <c r="B2" s="2" t="inlineStr">
        <is>
          <t>Fiscal Year 2026 - Quarterly Report</t>
        </is>
      </c>
    </row>
    <row r="4" ht="28" customHeight="1">
      <c r="A4" t="inlineStr"/>
      <c r="B4" s="3" t="inlineStr">
        <is>
          <t>CATEGORY</t>
        </is>
      </c>
      <c r="C4" s="3" t="inlineStr">
        <is>
          <t>Q1 BUDGET</t>
        </is>
      </c>
      <c r="D4" s="3" t="inlineStr">
        <is>
          <t>Q1 ACTUAL</t>
        </is>
      </c>
      <c r="E4" s="3" t="inlineStr">
        <is>
          <t>Q2 BUDGET</t>
        </is>
      </c>
      <c r="F4" s="3" t="inlineStr">
        <is>
          <t>Q2 ACTUAL</t>
        </is>
      </c>
      <c r="G4" s="3" t="inlineStr">
        <is>
          <t>VARIANCE</t>
        </is>
      </c>
    </row>
    <row r="5" ht="22" customHeight="1">
      <c r="B5" s="4" t="inlineStr">
        <is>
          <t>PERSONNEL</t>
        </is>
      </c>
      <c r="C5" s="4" t="n"/>
      <c r="D5" s="4" t="n"/>
      <c r="E5" s="4" t="n"/>
      <c r="F5" s="4" t="n"/>
      <c r="G5" s="4" t="n"/>
    </row>
    <row r="6">
      <c r="B6" s="5" t="inlineStr">
        <is>
          <t>Salaries &amp; Wages</t>
        </is>
      </c>
      <c r="C6" s="6" t="n">
        <v>45000</v>
      </c>
      <c r="D6" s="6" t="n">
        <v>44200</v>
      </c>
      <c r="E6" s="6" t="n">
        <v>46000</v>
      </c>
      <c r="F6" s="6" t="n">
        <v>45800</v>
      </c>
      <c r="G6" s="7" t="n">
        <v>1000</v>
      </c>
    </row>
    <row r="7">
      <c r="B7" s="8" t="inlineStr">
        <is>
          <t>Benefits &amp; Insurance</t>
        </is>
      </c>
      <c r="C7" s="9" t="n">
        <v>12000</v>
      </c>
      <c r="D7" s="9" t="n">
        <v>11850</v>
      </c>
      <c r="E7" s="9" t="n">
        <v>12500</v>
      </c>
      <c r="F7" s="9" t="n">
        <v>12400</v>
      </c>
      <c r="G7" s="10" t="n">
        <v>250</v>
      </c>
    </row>
    <row r="8">
      <c r="B8" s="5" t="inlineStr">
        <is>
          <t>Training &amp; Development</t>
        </is>
      </c>
      <c r="C8" s="6" t="n">
        <v>3000</v>
      </c>
      <c r="D8" s="6" t="n">
        <v>2800</v>
      </c>
      <c r="E8" s="6" t="n">
        <v>3200</v>
      </c>
      <c r="F8" s="6" t="n">
        <v>3500</v>
      </c>
      <c r="G8" s="11" t="n">
        <v>-100</v>
      </c>
    </row>
    <row r="9">
      <c r="B9" s="8" t="inlineStr">
        <is>
          <t>Recruitment</t>
        </is>
      </c>
      <c r="C9" s="9" t="n">
        <v>2000</v>
      </c>
      <c r="D9" s="9" t="n">
        <v>1500</v>
      </c>
      <c r="E9" s="9" t="n">
        <v>2500</v>
      </c>
      <c r="F9" s="9" t="n">
        <v>2200</v>
      </c>
      <c r="G9" s="10" t="n">
        <v>800</v>
      </c>
    </row>
    <row r="10" ht="22" customHeight="1">
      <c r="B10" s="12" t="inlineStr">
        <is>
          <t>Personnel Subtotal</t>
        </is>
      </c>
      <c r="C10" s="13">
        <f>SUM(C6:C9)</f>
        <v/>
      </c>
      <c r="D10" s="13">
        <f>SUM(D6:D9)</f>
        <v/>
      </c>
      <c r="E10" s="13">
        <f>SUM(E6:E9)</f>
        <v/>
      </c>
      <c r="F10" s="13">
        <f>SUM(F6:F9)</f>
        <v/>
      </c>
      <c r="G10" s="13">
        <f>SUM(G6:G9)</f>
        <v/>
      </c>
    </row>
    <row r="12" ht="22" customHeight="1">
      <c r="B12" s="4" t="inlineStr">
        <is>
          <t>OPERATIONS</t>
        </is>
      </c>
      <c r="C12" s="4" t="n"/>
      <c r="D12" s="4" t="n"/>
      <c r="E12" s="4" t="n"/>
      <c r="F12" s="4" t="n"/>
      <c r="G12" s="4" t="n"/>
    </row>
    <row r="13">
      <c r="B13" s="5" t="inlineStr">
        <is>
          <t>Rent &amp; Utilities</t>
        </is>
      </c>
      <c r="C13" s="6" t="n">
        <v>8000</v>
      </c>
      <c r="D13" s="6" t="n">
        <v>8000</v>
      </c>
      <c r="E13" s="6" t="n">
        <v>8200</v>
      </c>
      <c r="F13" s="6" t="n">
        <v>8150</v>
      </c>
      <c r="G13" s="7" t="n">
        <v>50</v>
      </c>
    </row>
    <row r="14">
      <c r="B14" s="8" t="inlineStr">
        <is>
          <t>Office Supplies</t>
        </is>
      </c>
      <c r="C14" s="9" t="n">
        <v>1500</v>
      </c>
      <c r="D14" s="9" t="n">
        <v>1650</v>
      </c>
      <c r="E14" s="9" t="n">
        <v>1500</v>
      </c>
      <c r="F14" s="9" t="n">
        <v>1400</v>
      </c>
      <c r="G14" s="14" t="n">
        <v>-50</v>
      </c>
    </row>
    <row r="15">
      <c r="B15" s="5" t="inlineStr">
        <is>
          <t>Equipment &amp; Maintenance</t>
        </is>
      </c>
      <c r="C15" s="6" t="n">
        <v>3000</v>
      </c>
      <c r="D15" s="6" t="n">
        <v>2700</v>
      </c>
      <c r="E15" s="6" t="n">
        <v>3500</v>
      </c>
      <c r="F15" s="6" t="n">
        <v>3800</v>
      </c>
      <c r="G15" s="6" t="n">
        <v>0</v>
      </c>
    </row>
    <row r="16">
      <c r="B16" s="8" t="inlineStr">
        <is>
          <t>IT &amp; Software</t>
        </is>
      </c>
      <c r="C16" s="9" t="n">
        <v>4000</v>
      </c>
      <c r="D16" s="9" t="n">
        <v>4200</v>
      </c>
      <c r="E16" s="9" t="n">
        <v>4500</v>
      </c>
      <c r="F16" s="9" t="n">
        <v>4300</v>
      </c>
      <c r="G16" s="9" t="n">
        <v>0</v>
      </c>
    </row>
    <row r="17">
      <c r="B17" s="5" t="inlineStr">
        <is>
          <t>Telecommunications</t>
        </is>
      </c>
      <c r="C17" s="6" t="n">
        <v>2000</v>
      </c>
      <c r="D17" s="6" t="n">
        <v>1900</v>
      </c>
      <c r="E17" s="6" t="n">
        <v>2100</v>
      </c>
      <c r="F17" s="6" t="n">
        <v>2050</v>
      </c>
      <c r="G17" s="7" t="n">
        <v>150</v>
      </c>
    </row>
    <row r="18" ht="22" customHeight="1">
      <c r="B18" s="12" t="inlineStr">
        <is>
          <t>Operations Subtotal</t>
        </is>
      </c>
      <c r="C18" s="13">
        <f>SUM(C13:C17)</f>
        <v/>
      </c>
      <c r="D18" s="13">
        <f>SUM(D13:D17)</f>
        <v/>
      </c>
      <c r="E18" s="13">
        <f>SUM(E13:E17)</f>
        <v/>
      </c>
      <c r="F18" s="13">
        <f>SUM(F13:F17)</f>
        <v/>
      </c>
      <c r="G18" s="13">
        <f>SUM(G13:G17)</f>
        <v/>
      </c>
    </row>
    <row r="20" ht="22" customHeight="1">
      <c r="B20" s="4" t="inlineStr">
        <is>
          <t>MARKETING</t>
        </is>
      </c>
      <c r="C20" s="4" t="n"/>
      <c r="D20" s="4" t="n"/>
      <c r="E20" s="4" t="n"/>
      <c r="F20" s="4" t="n"/>
      <c r="G20" s="4" t="n"/>
    </row>
    <row r="21">
      <c r="B21" s="5" t="inlineStr">
        <is>
          <t>Advertising</t>
        </is>
      </c>
      <c r="C21" s="6" t="n">
        <v>5000</v>
      </c>
      <c r="D21" s="6" t="n">
        <v>4800</v>
      </c>
      <c r="E21" s="6" t="n">
        <v>6000</v>
      </c>
      <c r="F21" s="6" t="n">
        <v>5500</v>
      </c>
      <c r="G21" s="7" t="n">
        <v>700</v>
      </c>
    </row>
    <row r="22">
      <c r="B22" s="8" t="inlineStr">
        <is>
          <t>Digital Marketing</t>
        </is>
      </c>
      <c r="C22" s="9" t="n">
        <v>3000</v>
      </c>
      <c r="D22" s="9" t="n">
        <v>3200</v>
      </c>
      <c r="E22" s="9" t="n">
        <v>3500</v>
      </c>
      <c r="F22" s="9" t="n">
        <v>3600</v>
      </c>
      <c r="G22" s="14" t="n">
        <v>-300</v>
      </c>
    </row>
    <row r="23">
      <c r="B23" s="5" t="inlineStr">
        <is>
          <t>Events &amp; Sponsorships</t>
        </is>
      </c>
      <c r="C23" s="6" t="n">
        <v>2000</v>
      </c>
      <c r="D23" s="6" t="n">
        <v>1800</v>
      </c>
      <c r="E23" s="6" t="n">
        <v>2500</v>
      </c>
      <c r="F23" s="6" t="n">
        <v>2800</v>
      </c>
      <c r="G23" s="11" t="n">
        <v>-100</v>
      </c>
    </row>
    <row r="24">
      <c r="B24" s="8" t="inlineStr">
        <is>
          <t>Printing &amp; Design</t>
        </is>
      </c>
      <c r="C24" s="9" t="n">
        <v>1000</v>
      </c>
      <c r="D24" s="9" t="n">
        <v>950</v>
      </c>
      <c r="E24" s="9" t="n">
        <v>1200</v>
      </c>
      <c r="F24" s="9" t="n">
        <v>1100</v>
      </c>
      <c r="G24" s="10" t="n">
        <v>150</v>
      </c>
    </row>
    <row r="25" ht="22" customHeight="1">
      <c r="B25" s="12" t="inlineStr">
        <is>
          <t>Marketing Subtotal</t>
        </is>
      </c>
      <c r="C25" s="13">
        <f>SUM(C21:C24)</f>
        <v/>
      </c>
      <c r="D25" s="13">
        <f>SUM(D21:D24)</f>
        <v/>
      </c>
      <c r="E25" s="13">
        <f>SUM(E21:E24)</f>
        <v/>
      </c>
      <c r="F25" s="13">
        <f>SUM(F21:F24)</f>
        <v/>
      </c>
      <c r="G25" s="13">
        <f>SUM(G21:G24)</f>
        <v/>
      </c>
    </row>
    <row r="27" ht="22" customHeight="1">
      <c r="B27" s="4" t="inlineStr">
        <is>
          <t>TRAVEL &amp; ENTERTAINMENT</t>
        </is>
      </c>
      <c r="C27" s="4" t="n"/>
      <c r="D27" s="4" t="n"/>
      <c r="E27" s="4" t="n"/>
      <c r="F27" s="4" t="n"/>
      <c r="G27" s="4" t="n"/>
    </row>
    <row r="28">
      <c r="B28" s="5" t="inlineStr">
        <is>
          <t>Domestic Travel</t>
        </is>
      </c>
      <c r="C28" s="6" t="n">
        <v>3000</v>
      </c>
      <c r="D28" s="6" t="n">
        <v>2500</v>
      </c>
      <c r="E28" s="6" t="n">
        <v>3500</v>
      </c>
      <c r="F28" s="6" t="n">
        <v>3200</v>
      </c>
      <c r="G28" s="7" t="n">
        <v>800</v>
      </c>
    </row>
    <row r="29">
      <c r="B29" s="8" t="inlineStr">
        <is>
          <t>International Travel</t>
        </is>
      </c>
      <c r="C29" s="9" t="n">
        <v>5000</v>
      </c>
      <c r="D29" s="9" t="n">
        <v>4000</v>
      </c>
      <c r="E29" s="9" t="n">
        <v>6000</v>
      </c>
      <c r="F29" s="9" t="n">
        <v>5500</v>
      </c>
      <c r="G29" s="10" t="n">
        <v>1500</v>
      </c>
    </row>
    <row r="30">
      <c r="B30" s="5" t="inlineStr">
        <is>
          <t>Meals &amp; Entertainment</t>
        </is>
      </c>
      <c r="C30" s="6" t="n">
        <v>2000</v>
      </c>
      <c r="D30" s="6" t="n">
        <v>1800</v>
      </c>
      <c r="E30" s="6" t="n">
        <v>2200</v>
      </c>
      <c r="F30" s="6" t="n">
        <v>2100</v>
      </c>
      <c r="G30" s="7" t="n">
        <v>300</v>
      </c>
    </row>
    <row r="31">
      <c r="B31" s="8" t="inlineStr">
        <is>
          <t>Vehicle Expenses</t>
        </is>
      </c>
      <c r="C31" s="9" t="n">
        <v>1500</v>
      </c>
      <c r="D31" s="9" t="n">
        <v>1400</v>
      </c>
      <c r="E31" s="9" t="n">
        <v>1500</v>
      </c>
      <c r="F31" s="9" t="n">
        <v>1600</v>
      </c>
      <c r="G31" s="9" t="n">
        <v>0</v>
      </c>
    </row>
    <row r="32" ht="22" customHeight="1">
      <c r="B32" s="12" t="inlineStr">
        <is>
          <t>Travel &amp; Entertainment Subtotal</t>
        </is>
      </c>
      <c r="C32" s="13">
        <f>SUM(C28:C31)</f>
        <v/>
      </c>
      <c r="D32" s="13">
        <f>SUM(D28:D31)</f>
        <v/>
      </c>
      <c r="E32" s="13">
        <f>SUM(E28:E31)</f>
        <v/>
      </c>
      <c r="F32" s="13">
        <f>SUM(F28:F31)</f>
        <v/>
      </c>
      <c r="G32" s="13">
        <f>SUM(G28:G31)</f>
        <v/>
      </c>
    </row>
    <row r="34" ht="22" customHeight="1">
      <c r="B34" s="4" t="inlineStr">
        <is>
          <t>PROFESSIONAL SERVICES</t>
        </is>
      </c>
      <c r="C34" s="4" t="n"/>
      <c r="D34" s="4" t="n"/>
      <c r="E34" s="4" t="n"/>
      <c r="F34" s="4" t="n"/>
      <c r="G34" s="4" t="n"/>
    </row>
    <row r="35">
      <c r="B35" s="5" t="inlineStr">
        <is>
          <t>Legal Fees</t>
        </is>
      </c>
      <c r="C35" s="6" t="n">
        <v>3000</v>
      </c>
      <c r="D35" s="6" t="n">
        <v>2800</v>
      </c>
      <c r="E35" s="6" t="n">
        <v>3500</v>
      </c>
      <c r="F35" s="6" t="n">
        <v>3200</v>
      </c>
      <c r="G35" s="7" t="n">
        <v>500</v>
      </c>
    </row>
    <row r="36">
      <c r="B36" s="8" t="inlineStr">
        <is>
          <t>Accounting &amp; Audit</t>
        </is>
      </c>
      <c r="C36" s="9" t="n">
        <v>2500</v>
      </c>
      <c r="D36" s="9" t="n">
        <v>2500</v>
      </c>
      <c r="E36" s="9" t="n">
        <v>2500</v>
      </c>
      <c r="F36" s="9" t="n">
        <v>2500</v>
      </c>
      <c r="G36" s="9" t="n">
        <v>0</v>
      </c>
    </row>
    <row r="37">
      <c r="B37" s="5" t="inlineStr">
        <is>
          <t>Consulting</t>
        </is>
      </c>
      <c r="C37" s="6" t="n">
        <v>4000</v>
      </c>
      <c r="D37" s="6" t="n">
        <v>3500</v>
      </c>
      <c r="E37" s="6" t="n">
        <v>5000</v>
      </c>
      <c r="F37" s="6" t="n">
        <v>4800</v>
      </c>
      <c r="G37" s="7" t="n">
        <v>700</v>
      </c>
    </row>
    <row r="38">
      <c r="B38" s="8" t="inlineStr">
        <is>
          <t>Insurance</t>
        </is>
      </c>
      <c r="C38" s="9" t="n">
        <v>2000</v>
      </c>
      <c r="D38" s="9" t="n">
        <v>2000</v>
      </c>
      <c r="E38" s="9" t="n">
        <v>2100</v>
      </c>
      <c r="F38" s="9" t="n">
        <v>2100</v>
      </c>
      <c r="G38" s="9" t="n">
        <v>0</v>
      </c>
    </row>
    <row r="39" ht="22" customHeight="1">
      <c r="B39" s="12" t="inlineStr">
        <is>
          <t>Professional Services Subtotal</t>
        </is>
      </c>
      <c r="C39" s="13">
        <f>SUM(C35:C38)</f>
        <v/>
      </c>
      <c r="D39" s="13">
        <f>SUM(D35:D38)</f>
        <v/>
      </c>
      <c r="E39" s="13">
        <f>SUM(E35:E38)</f>
        <v/>
      </c>
      <c r="F39" s="13">
        <f>SUM(F35:F38)</f>
        <v/>
      </c>
      <c r="G39" s="13">
        <f>SUM(G35:G38)</f>
        <v/>
      </c>
    </row>
    <row r="41" ht="30" customHeight="1">
      <c r="A41" s="15" t="inlineStr">
        <is>
          <t>GRAND TOTAL</t>
        </is>
      </c>
      <c r="C41" s="16">
        <f>C10+C18+C25+C32+C39</f>
        <v/>
      </c>
      <c r="D41" s="16">
        <f>D10+D18+D25+D32+D39</f>
        <v/>
      </c>
      <c r="E41" s="16">
        <f>E10+E18+E25+E32+E39</f>
        <v/>
      </c>
      <c r="F41" s="16">
        <f>F10+F18+F25+F32+F39</f>
        <v/>
      </c>
      <c r="G41" s="16">
        <f>G10+G18+G25+G32+G39</f>
        <v/>
      </c>
    </row>
    <row r="44">
      <c r="B44" t="inlineStr">
        <is>
          <t>Category</t>
        </is>
      </c>
      <c r="C44" t="inlineStr">
        <is>
          <t>Total Budget</t>
        </is>
      </c>
      <c r="D44" t="inlineStr">
        <is>
          <t>Total Actual</t>
        </is>
      </c>
    </row>
    <row r="45">
      <c r="B45" t="inlineStr">
        <is>
          <t>Personnel</t>
        </is>
      </c>
      <c r="C45" t="n">
        <v>126200</v>
      </c>
      <c r="D45" t="n">
        <v>124250</v>
      </c>
    </row>
    <row r="46">
      <c r="B46" t="inlineStr">
        <is>
          <t>Operations</t>
        </is>
      </c>
      <c r="C46" t="n">
        <v>38300</v>
      </c>
      <c r="D46" t="n">
        <v>38150</v>
      </c>
    </row>
    <row r="47">
      <c r="B47" t="inlineStr">
        <is>
          <t>Marketing</t>
        </is>
      </c>
      <c r="C47" t="n">
        <v>24200</v>
      </c>
      <c r="D47" t="n">
        <v>23750</v>
      </c>
    </row>
    <row r="48">
      <c r="B48" t="inlineStr">
        <is>
          <t>Travel &amp; Entertainment</t>
        </is>
      </c>
      <c r="C48" t="n">
        <v>24700</v>
      </c>
      <c r="D48" t="n">
        <v>22100</v>
      </c>
    </row>
    <row r="49">
      <c r="B49" t="inlineStr">
        <is>
          <t>Professional Services</t>
        </is>
      </c>
      <c r="C49" t="n">
        <v>24600</v>
      </c>
      <c r="D49" t="n">
        <v>23400</v>
      </c>
    </row>
  </sheetData>
  <mergeCells count="8">
    <mergeCell ref="B20:G20"/>
    <mergeCell ref="B34:G34"/>
    <mergeCell ref="B2:F2"/>
    <mergeCell ref="B5:G5"/>
    <mergeCell ref="A41:B41"/>
    <mergeCell ref="B27:G27"/>
    <mergeCell ref="B12:G12"/>
    <mergeCell ref="B1:F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2026-03-22T15:32:01Z</dcterms:created>
  <dcterms:modified xmlns:dcterms="http://purl.org/dc/terms/" xmlns:xsi="http://www.w3.org/2001/XMLSchema-instance" xsi:type="dcterms:W3CDTF">2026-03-22T15:32:01Z</dcterms:modified>
</cp:coreProperties>
</file>